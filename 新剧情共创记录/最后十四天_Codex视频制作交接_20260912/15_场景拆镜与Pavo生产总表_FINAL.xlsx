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6da7629c6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40d4906a09ad4d37"/>
    <x:sheet xmlns:r="http://schemas.openxmlformats.org/officeDocument/2006/relationships" name="场景总表" sheetId="2" r:id="Rd86eb0c332e44a76"/>
    <x:sheet xmlns:r="http://schemas.openxmlformats.org/officeDocument/2006/relationships" name="Pavo片段清单" sheetId="3" r:id="Ra63b5e49f20a41b5"/>
    <x:sheet xmlns:r="http://schemas.openxmlformats.org/officeDocument/2006/relationships" name="旧素材审查" sheetId="4" r:id="Redbcaea103604920"/>
    <x:sheet xmlns:r="http://schemas.openxmlformats.org/officeDocument/2006/relationships" name="复用与变体矩阵" sheetId="5" r:id="Rb06740779e984d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8">
    <x:border/>
    <x:border/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2" fillId="3" borderId="5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vertical="center"/>
    </x:xf>
    <x:xf numFmtId="0" fontId="1" fillId="2" borderId="11" xfId="0" applyNumberFormat="1" applyFont="1" applyFill="1" applyBorder="1" applyAlignment="1">
      <x:alignment vertical="center"/>
    </x:xf>
    <x:xf numFmtId="0" fontId="1" fillId="2" borderId="12" xfId="0" applyNumberFormat="1" applyFont="1" applyFill="1" applyBorder="1" applyAlignment="1">
      <x:alignment vertical="center"/>
    </x:xf>
    <x:xf numFmtId="0" fontId="1" fillId="2" borderId="13" xfId="0" applyNumberFormat="1" applyFont="1" applyFill="1" applyBorder="1" applyAlignment="1">
      <x:alignment vertical="center"/>
    </x:xf>
    <x:xf numFmtId="0" fontId="1" fillId="2" borderId="14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2" fillId="3" borderId="13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vertical="center"/>
    </x:xf>
    <x:xf numFmtId="0" fontId="3" fillId="4" borderId="14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">
    <x:dxf>
      <x:font>
        <x:b/>
      </x:font>
      <x:fill>
        <x:patternFill patternType="solid">
          <x:bgColor rgb="FFEDEDED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DDEBF7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EDEDED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DDEBF7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910f92e834dee" /><Relationship Type="http://schemas.openxmlformats.org/officeDocument/2006/relationships/theme" Target="/xl/theme/theme1.xml" Id="Ra6102c5309e7480f" /><Relationship Type="http://schemas.openxmlformats.org/officeDocument/2006/relationships/sharedStrings" Target="/xl/sharedStrings.xml" Id="R8fbd817dad31425e" /><Relationship Type="http://schemas.openxmlformats.org/officeDocument/2006/relationships/worksheet" Target="/xl/worksheets/sheet1.xml" Id="R40d4906a09ad4d37" /><Relationship Type="http://schemas.openxmlformats.org/officeDocument/2006/relationships/worksheet" Target="/xl/worksheets/sheet2.xml" Id="Rd86eb0c332e44a76" /><Relationship Type="http://schemas.openxmlformats.org/officeDocument/2006/relationships/worksheet" Target="/xl/worksheets/sheet3.xml" Id="Ra63b5e49f20a41b5" /><Relationship Type="http://schemas.openxmlformats.org/officeDocument/2006/relationships/worksheet" Target="/xl/worksheets/sheet4.xml" Id="Redbcaea103604920" /><Relationship Type="http://schemas.openxmlformats.org/officeDocument/2006/relationships/worksheet" Target="/xl/worksheets/sheet5.xml" Id="Rb06740779e984d0d" /></Relationships>
</file>

<file path=xl/tables/table1.xml><?xml version="1.0" encoding="utf-8"?>
<x:table xmlns:x="http://schemas.openxmlformats.org/spreadsheetml/2006/main" id="1" name="SceneTable" displayName="SceneTable" ref="A1:Q33" headerRowCount="1" totalsRowCount="0" totalsRowShown="0">
  <x:tableColumns count="17">
    <x:tableColumn id="1" name="场景组ID"/>
    <x:tableColumn id="2" name="节点"/>
    <x:tableColumn id="3" name="路线"/>
    <x:tableColumn id="4" name="场景名称"/>
    <x:tableColumn id="5" name="功能"/>
    <x:tableColumn id="6" name="时间"/>
    <x:tableColumn id="7" name="地点"/>
    <x:tableColumn id="8" name="玩家必须已知"/>
    <x:tableColumn id="9" name="完整场景动作"/>
    <x:tableColumn id="10" name="对白/事实边界"/>
    <x:tableColumn id="11" name="Pavo片段ID"/>
    <x:tableColumn id="12" name="建议场景总长"/>
    <x:tableColumn id="13" name="复用级别"/>
    <x:tableColumn id="14" name="旧素材/参考"/>
    <x:tableColumn id="15" name="Web承接"/>
    <x:tableColumn id="16" name="优先级"/>
    <x:tableColumn id="17" name="制作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ipTable" displayName="ClipTable" ref="A1:M83" headerRowCount="1" totalsRowCount="0" totalsRowShown="0">
  <x:tableColumns count="13">
    <x:tableColumn id="1" name="片段ID"/>
    <x:tableColumn id="2" name="场景组"/>
    <x:tableColumn id="3" name="路线"/>
    <x:tableColumn id="4" name="生产类型"/>
    <x:tableColumn id="5" name="复用级别"/>
    <x:tableColumn id="6" name="建议单片时长"/>
    <x:tableColumn id="7" name="核心画面/动作"/>
    <x:tableColumn id="8" name="对白/声音"/>
    <x:tableColumn id="9" name="首帧/连续性"/>
    <x:tableColumn id="10" name="尾帧目标"/>
    <x:tableColumn id="11" name="旧素材/母版"/>
    <x:tableColumn id="12" name="优先级"/>
    <x:tableColumn id="13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ssetAuditTable" displayName="AssetAuditTable" ref="A1:F11" headerRowCount="1" totalsRowCount="0" totalsRowShown="0">
  <x:tableColumns count="6">
    <x:tableColumn id="1" name="旧素材ID"/>
    <x:tableColumn id="2" name="旧内容"/>
    <x:tableColumn id="3" name="FINAL对应"/>
    <x:tableColumn id="4" name="复用决定"/>
    <x:tableColumn id="5" name="原因"/>
    <x:tableColumn id="6" name="处理方式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useMatrixTable" displayName="ReuseMatrixTable" ref="A1:F7" headerRowCount="1" totalsRowCount="0" totalsRowShown="0">
  <x:tableColumns count="6">
    <x:tableColumn id="1" name="母版组"/>
    <x:tableColumn id="2" name="故事空间"/>
    <x:tableColumn id="3" name="适用场景"/>
    <x:tableColumn id="4" name="可共用内容"/>
    <x:tableColumn id="5" name="必须做变体"/>
    <x:tableColumn id="6" name="级别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424410cd6448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f79f0f0e154b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d62c6fe34c4c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2ada756a584b8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8" t="str">
        <x:v>《最后十四天》场景拆镜与Pavo生产总表｜FINAL</x:v>
      </x:c>
      <x:c r="B1" s="29"/>
      <x:c r="C1" s="29"/>
      <x:c r="D1" s="29"/>
      <x:c r="E1" s="29"/>
      <x:c r="F1" s="29"/>
      <x:c r="G1" s="29"/>
      <x:c r="H1" s="30"/>
    </x:row>
    <x:row r="2">
      <x:c r="A2" s="31"/>
      <x:c r="B2" s="4"/>
      <x:c r="C2" s="4"/>
      <x:c r="D2" s="4"/>
      <x:c r="E2" s="4"/>
      <x:c r="F2" s="4"/>
      <x:c r="G2" s="4"/>
      <x:c r="H2" s="32"/>
    </x:row>
    <x:row r="3">
      <x:c r="A3" s="33"/>
      <x:c r="B3" s="34"/>
      <x:c r="C3" s="34"/>
      <x:c r="D3" s="34"/>
      <x:c r="E3" s="34"/>
      <x:c r="F3" s="34"/>
      <x:c r="G3" s="34"/>
      <x:c r="H3" s="35"/>
    </x:row>
    <x:row r="4">
      <x:c r="A4" s="36" t="str">
        <x:v>指标</x:v>
      </x:c>
      <x:c r="B4" s="12" t="str">
        <x:v>值</x:v>
      </x:c>
      <x:c r="C4" s="34"/>
      <x:c r="D4" s="12" t="str">
        <x:v>口径</x:v>
      </x:c>
      <x:c r="E4" s="12" t="str">
        <x:v>FINAL规则</x:v>
      </x:c>
      <x:c r="F4" s="34"/>
      <x:c r="G4" s="34"/>
      <x:c r="H4" s="35"/>
    </x:row>
    <x:row r="5">
      <x:c r="A5" s="37" t="str">
        <x:v>生产场景组</x:v>
      </x:c>
      <x:c r="B5" s="34" t="n">
        <x:f>COUNTA('场景总表'!A2:A200)</x:f>
        <x:v>32</x:v>
      </x:c>
      <x:c r="C5" s="34"/>
      <x:c r="D5" s="20" t="str">
        <x:v>场景时长</x:v>
      </x:c>
      <x:c r="E5" s="34" t="str">
        <x:v>不受12秒限制；可多片拼接</x:v>
      </x:c>
      <x:c r="F5" s="34"/>
      <x:c r="G5" s="34"/>
      <x:c r="H5" s="35"/>
    </x:row>
    <x:row r="6">
      <x:c r="A6" s="37" t="str">
        <x:v>Pavo片段候选</x:v>
      </x:c>
      <x:c r="B6" s="34" t="n">
        <x:f>COUNTA('Pavo片段清单'!A2:A300)</x:f>
        <x:v>82</x:v>
      </x:c>
      <x:c r="C6" s="34"/>
      <x:c r="D6" s="20" t="str">
        <x:v>单片原则</x:v>
      </x:c>
      <x:c r="E6" s="34" t="str">
        <x:v>一个核心动作或一个信息点</x:v>
      </x:c>
      <x:c r="F6" s="34"/>
      <x:c r="G6" s="34"/>
      <x:c r="H6" s="35"/>
    </x:row>
    <x:row r="7">
      <x:c r="A7" s="37" t="str">
        <x:v>公共片段候选</x:v>
      </x:c>
      <x:c r="B7" s="34" t="n">
        <x:f>COUNTIF('Pavo片段清单'!C2:C300,"公共")</x:f>
        <x:v>9</x:v>
      </x:c>
      <x:c r="C7" s="34"/>
      <x:c r="D7" s="20" t="str">
        <x:v>首尾帧</x:v>
      </x:c>
      <x:c r="E7" s="34" t="str">
        <x:v>真实尾帧验收通过后再接下一片</x:v>
      </x:c>
      <x:c r="F7" s="34"/>
      <x:c r="G7" s="34"/>
      <x:c r="H7" s="35"/>
    </x:row>
    <x:row r="8">
      <x:c r="A8" s="37" t="str">
        <x:v>A线片段候选</x:v>
      </x:c>
      <x:c r="B8" s="34" t="n">
        <x:f>COUNTIF('Pavo片段清单'!C2:C300,"A")</x:f>
        <x:v>19</x:v>
      </x:c>
      <x:c r="C8" s="34"/>
      <x:c r="D8" s="20" t="str">
        <x:v>文字/数字</x:v>
      </x:c>
      <x:c r="E8" s="34" t="str">
        <x:v>Web渲染，不让视频模型生成长文本</x:v>
      </x:c>
      <x:c r="F8" s="34"/>
      <x:c r="G8" s="34"/>
      <x:c r="H8" s="35"/>
    </x:row>
    <x:row r="9">
      <x:c r="A9" s="37" t="str">
        <x:v>B线片段候选</x:v>
      </x:c>
      <x:c r="B9" s="34" t="n">
        <x:f>COUNTIF('Pavo片段清单'!C2:C300,"B")</x:f>
        <x:v>15</x:v>
      </x:c>
      <x:c r="C9" s="34"/>
      <x:c r="D9" s="20" t="str">
        <x:v>剧情变更</x:v>
      </x:c>
      <x:c r="E9" s="34" t="str">
        <x:v>不得因生成困难反向改故事</x:v>
      </x:c>
      <x:c r="F9" s="34"/>
      <x:c r="G9" s="34"/>
      <x:c r="H9" s="35"/>
    </x:row>
    <x:row r="10">
      <x:c r="A10" s="37" t="str">
        <x:v>C线片段候选</x:v>
      </x:c>
      <x:c r="B10" s="34" t="n">
        <x:f>COUNTIF('Pavo片段清单'!C2:C300,"C")</x:f>
        <x:v>17</x:v>
      </x:c>
      <x:c r="C10" s="34"/>
      <x:c r="D10" s="34"/>
      <x:c r="E10" s="34"/>
      <x:c r="F10" s="34"/>
      <x:c r="G10" s="34"/>
      <x:c r="H10" s="35"/>
    </x:row>
    <x:row r="11">
      <x:c r="A11" s="37" t="str">
        <x:v>D线片段候选</x:v>
      </x:c>
      <x:c r="B11" s="34" t="n">
        <x:f>COUNTIF('Pavo片段清单'!C2:C300,"D")</x:f>
        <x:v>15</x:v>
      </x:c>
      <x:c r="C11" s="34"/>
      <x:c r="D11" s="34"/>
      <x:c r="E11" s="34"/>
      <x:c r="F11" s="34"/>
      <x:c r="G11" s="34"/>
      <x:c r="H11" s="35"/>
    </x:row>
    <x:row r="12">
      <x:c r="A12" s="33"/>
      <x:c r="B12" s="34"/>
      <x:c r="C12" s="34"/>
      <x:c r="D12" s="34"/>
      <x:c r="E12" s="34"/>
      <x:c r="F12" s="34"/>
      <x:c r="G12" s="34"/>
      <x:c r="H12" s="35"/>
    </x:row>
    <x:row r="13">
      <x:c r="A13" s="37" t="str">
        <x:v>第一轮制作优先级</x:v>
      </x:c>
      <x:c r="B13" s="20"/>
      <x:c r="C13" s="20"/>
      <x:c r="D13" s="20"/>
      <x:c r="E13" s="20"/>
      <x:c r="F13" s="20"/>
      <x:c r="G13" s="20"/>
      <x:c r="H13" s="38"/>
    </x:row>
    <x:row r="14">
      <x:c r="A14" s="37" t="str">
        <x:v>1</x:v>
      </x:c>
      <x:c r="B14" s="34" t="str">
        <x:v>公共开场事实修订</x:v>
      </x:c>
      <x:c r="C14" s="34" t="str">
        <x:v>P02 / P04 / P05</x:v>
      </x:c>
      <x:c r="D14" s="34" t="str">
        <x:v>先把FINAL世界规则与天气两级信息拍准</x:v>
      </x:c>
      <x:c r="E14" s="34"/>
      <x:c r="F14" s="34"/>
      <x:c r="G14" s="34"/>
      <x:c r="H14" s="35"/>
    </x:row>
    <x:row r="15">
      <x:c r="A15" s="37" t="str">
        <x:v>2</x:v>
      </x:c>
      <x:c r="B15" s="34" t="str">
        <x:v>A线核心</x:v>
      </x:c>
      <x:c r="C15" s="34" t="str">
        <x:v>A02 / A03A / A03B / A04</x:v>
      </x:c>
      <x:c r="D15" s="34" t="str">
        <x:v>验证风险升级、前情变体与选择入口</x:v>
      </x:c>
      <x:c r="E15" s="34"/>
      <x:c r="F15" s="34"/>
      <x:c r="G15" s="34"/>
      <x:c r="H15" s="35"/>
    </x:row>
    <x:row r="16">
      <x:c r="A16" s="37" t="str">
        <x:v>3</x:v>
      </x:c>
      <x:c r="B16" s="34" t="str">
        <x:v>B线核心</x:v>
      </x:c>
      <x:c r="C16" s="34" t="str">
        <x:v>B02 / B03A / B03B / B04</x:v>
      </x:c>
      <x:c r="D16" s="34" t="str">
        <x:v>验证“无事故但时间不对”的戏剧感</x:v>
      </x:c>
      <x:c r="E16" s="34"/>
      <x:c r="F16" s="34"/>
      <x:c r="G16" s="34"/>
      <x:c r="H16" s="35"/>
    </x:row>
    <x:row r="17">
      <x:c r="A17" s="37" t="str">
        <x:v>4</x:v>
      </x:c>
      <x:c r="B17" s="34" t="str">
        <x:v>C线核心</x:v>
      </x:c>
      <x:c r="C17" s="34" t="str">
        <x:v>C02 / C03 / C06</x:v>
      </x:c>
      <x:c r="D17" s="34" t="str">
        <x:v>验证信息逐层增加但不是答案</x:v>
      </x:c>
      <x:c r="E17" s="34"/>
      <x:c r="F17" s="34"/>
      <x:c r="G17" s="34"/>
      <x:c r="H17" s="35"/>
    </x:row>
    <x:row r="18">
      <x:c r="A18" s="37" t="str">
        <x:v>5</x:v>
      </x:c>
      <x:c r="B18" s="34" t="str">
        <x:v>D线核心</x:v>
      </x:c>
      <x:c r="C18" s="34" t="str">
        <x:v>D02 / D03 / D05</x:v>
      </x:c>
      <x:c r="D18" s="34" t="str">
        <x:v>验证安全收益、反转与小时级容错</x:v>
      </x:c>
      <x:c r="E18" s="34"/>
      <x:c r="F18" s="34"/>
      <x:c r="G18" s="34"/>
      <x:c r="H18" s="35"/>
    </x:row>
    <x:row r="19">
      <x:c r="A19" s="33"/>
      <x:c r="B19" s="34"/>
      <x:c r="C19" s="34"/>
      <x:c r="D19" s="34"/>
      <x:c r="E19" s="34"/>
      <x:c r="F19" s="34"/>
      <x:c r="G19" s="34"/>
      <x:c r="H19" s="35"/>
    </x:row>
    <x:row r="20">
      <x:c r="A20" s="37" t="str">
        <x:v>说明</x:v>
      </x:c>
      <x:c r="B20" s="20"/>
      <x:c r="C20" s="20"/>
      <x:c r="D20" s="20"/>
      <x:c r="E20" s="20"/>
      <x:c r="F20" s="20"/>
      <x:c r="G20" s="20"/>
      <x:c r="H20" s="38"/>
    </x:row>
    <x:row r="21">
      <x:c r="A21" s="39" t="str">
        <x:v>场景总表 = 完整戏剧场景；Pavo片段清单 = 单次生成候选。一个场景可以拆2—4个片段。</x:v>
      </x:c>
      <x:c r="B21" s="25"/>
      <x:c r="C21" s="25"/>
      <x:c r="D21" s="25"/>
      <x:c r="E21" s="25"/>
      <x:c r="F21" s="25"/>
      <x:c r="G21" s="25"/>
      <x:c r="H21" s="40"/>
    </x:row>
    <x:row r="22">
      <x:c r="A22" s="39" t="str">
        <x:v>片段数量是制作候选，不是硬预算；逐镜阶段可合并、复用或删掉纯过渡。</x:v>
      </x:c>
      <x:c r="B22" s="25"/>
      <x:c r="C22" s="25"/>
      <x:c r="D22" s="25"/>
      <x:c r="E22" s="25"/>
      <x:c r="F22" s="25"/>
      <x:c r="G22" s="25"/>
      <x:c r="H22" s="40"/>
    </x:row>
    <x:row r="23">
      <x:c r="A23" s="39" t="str">
        <x:v>R0完整复用；R1母版+短变体；R2只复用环境/参考；R3路线专属新生成。</x:v>
      </x:c>
      <x:c r="B23" s="25"/>
      <x:c r="C23" s="25"/>
      <x:c r="D23" s="25"/>
      <x:c r="E23" s="25"/>
      <x:c r="F23" s="25"/>
      <x:c r="G23" s="25"/>
      <x:c r="H23" s="40"/>
    </x:row>
    <x:row r="24">
      <x:c r="A24" s="41" t="str">
        <x:v>当前公共旧素材必须逐片审查；“已经做完”本身不构成保留理由。</x:v>
      </x:c>
      <x:c r="B24" s="42"/>
      <x:c r="C24" s="42"/>
      <x:c r="D24" s="42"/>
      <x:c r="E24" s="42"/>
      <x:c r="F24" s="42"/>
      <x:c r="G24" s="42"/>
      <x:c r="H24" s="43"/>
    </x:row>
  </x:sheetData>
  <x:mergeCells>
    <x:mergeCell ref="A1:H2"/>
    <x:mergeCell ref="A13:H13"/>
    <x:mergeCell ref="A20:H20"/>
    <x:mergeCell ref="A21:H21"/>
    <x:mergeCell ref="A22:H22"/>
    <x:mergeCell ref="A23:H23"/>
    <x:mergeCell ref="A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8" hidden="0" customWidth="1"/>
    <x:col min="4" max="4" width="24" hidden="0" customWidth="1"/>
    <x:col min="5" max="5" width="16" hidden="0" customWidth="1"/>
    <x:col min="6" max="6" width="18" hidden="0" customWidth="1"/>
    <x:col min="7" max="7" width="22" hidden="0" customWidth="1"/>
    <x:col min="8" max="8" width="42" hidden="0" customWidth="1"/>
    <x:col min="9" max="9" width="48" hidden="0" customWidth="1"/>
    <x:col min="10" max="10" width="44" hidden="0" customWidth="1"/>
    <x:col min="11" max="11" width="34" hidden="0" customWidth="1"/>
    <x:col min="12" max="12" width="16" hidden="0" customWidth="1"/>
    <x:col min="13" max="13" width="18" hidden="0" customWidth="1"/>
    <x:col min="14" max="14" width="28" hidden="0" customWidth="1"/>
    <x:col min="15" max="15" width="32" hidden="0" customWidth="1"/>
    <x:col min="16" max="16" width="10" hidden="0" customWidth="1"/>
    <x:col min="17" max="17" width="18" hidden="0" customWidth="1"/>
  </x:cols>
  <x:sheetData>
    <x:row r="1">
      <x:c r="A1" s="59" t="str">
        <x:v>场景组ID</x:v>
      </x:c>
      <x:c r="B1" s="60" t="str">
        <x:v>节点</x:v>
      </x:c>
      <x:c r="C1" s="60" t="str">
        <x:v>路线</x:v>
      </x:c>
      <x:c r="D1" s="60" t="str">
        <x:v>场景名称</x:v>
      </x:c>
      <x:c r="E1" s="60" t="str">
        <x:v>功能</x:v>
      </x:c>
      <x:c r="F1" s="60" t="str">
        <x:v>时间</x:v>
      </x:c>
      <x:c r="G1" s="60" t="str">
        <x:v>地点</x:v>
      </x:c>
      <x:c r="H1" s="60" t="str">
        <x:v>玩家必须已知</x:v>
      </x:c>
      <x:c r="I1" s="60" t="str">
        <x:v>完整场景动作</x:v>
      </x:c>
      <x:c r="J1" s="60" t="str">
        <x:v>对白/事实边界</x:v>
      </x:c>
      <x:c r="K1" s="60" t="str">
        <x:v>Pavo片段ID</x:v>
      </x:c>
      <x:c r="L1" s="60" t="str">
        <x:v>建议场景总长</x:v>
      </x:c>
      <x:c r="M1" s="60" t="str">
        <x:v>复用级别</x:v>
      </x:c>
      <x:c r="N1" s="60" t="str">
        <x:v>旧素材/参考</x:v>
      </x:c>
      <x:c r="O1" s="60" t="str">
        <x:v>Web承接</x:v>
      </x:c>
      <x:c r="P1" s="60" t="str">
        <x:v>优先级</x:v>
      </x:c>
      <x:c r="Q1" s="61" t="str">
        <x:v>制作状态</x:v>
      </x:c>
    </x:row>
    <x:row r="2">
      <x:c r="A2" s="39" t="str">
        <x:v>P01</x:v>
      </x:c>
      <x:c r="B2" s="25" t="str">
        <x:v>P01</x:v>
      </x:c>
      <x:c r="C2" s="25" t="str">
        <x:v>公共</x:v>
      </x:c>
      <x:c r="D2" s="25" t="str">
        <x:v>找到机会</x:v>
      </x:c>
      <x:c r="E2" s="25" t="str">
        <x:v>公共建立</x:v>
      </x:c>
      <x:c r="F2" s="25" t="str">
        <x:v>Day 0 · 09:00</x:v>
      </x:c>
      <x:c r="G2" s="25" t="str">
        <x:v>营地帐篷</x:v>
      </x:c>
      <x:c r="H2" s="25" t="str">
        <x:v>发现机会是真的；第一人称队长左手已有伤</x:v>
      </x:c>
      <x:c r="I2" s="25" t="str">
        <x:v>沈岚带回矿石→矿石/地图/勘探记录→伤手边缘</x:v>
      </x:c>
      <x:c r="J2" s="25" t="str">
        <x:v>找到看来质量很高的矿石；不宣称已确认储量</x:v>
      </x:c>
      <x:c r="K2" s="25" t="str">
        <x:v>PUB01A,PUB01B</x:v>
      </x:c>
      <x:c r="L2" s="25" t="str">
        <x:v>15–20s</x:v>
      </x:c>
      <x:c r="M2" s="25" t="str">
        <x:v>R2 旧素材优先</x:v>
      </x:c>
      <x:c r="N2" s="25" t="str">
        <x:v>旧公共素材候选</x:v>
      </x:c>
      <x:c r="O2" s="25" t="str">
        <x:v>视频结束自然进入期限说明</x:v>
      </x:c>
      <x:c r="P2" s="25" t="str">
        <x:v>高</x:v>
      </x:c>
      <x:c r="Q2" s="40" t="str">
        <x:v>待旧素材验收</x:v>
      </x:c>
    </x:row>
    <x:row r="3">
      <x:c r="A3" s="39" t="str">
        <x:v>P02</x:v>
      </x:c>
      <x:c r="B3" s="25" t="str">
        <x:v>P02</x:v>
      </x:c>
      <x:c r="C3" s="25" t="str">
        <x:v>公共</x:v>
      </x:c>
      <x:c r="D3" s="25" t="str">
        <x:v>十四天 + 本人必须返回</x:v>
      </x:c>
      <x:c r="E3" s="25" t="str">
        <x:v>公共建立</x:v>
      </x:c>
      <x:c r="F3" s="25" t="str">
        <x:v>Day 0 · 09:00</x:v>
      </x:c>
      <x:c r="G3" s="25" t="str">
        <x:v>营地帐篷</x:v>
      </x:c>
      <x:c r="H3" s="25" t="str">
        <x:v>地还不是我们的；期权剩14天；持有人本人必须回去完成最后确认；超期有失去机会风险</x:v>
      </x:c>
      <x:c r="I3" s="25" t="str">
        <x:v>期权文件→本人到场规则→超期/资金限制</x:v>
      </x:c>
      <x:c r="J3" s="25" t="str">
        <x:v>这是故事内办理规则，不冒充现实法律</x:v>
      </x:c>
      <x:c r="K3" s="25" t="str">
        <x:v>PUB02A,PUB02B</x:v>
      </x:c>
      <x:c r="L3" s="25" t="str">
        <x:v>18–24s</x:v>
      </x:c>
      <x:c r="M3" s="25" t="str">
        <x:v>R3 新/重做</x:v>
      </x:c>
      <x:c r="N3" s="25" t="str">
        <x:v>旧期限镜头仅作视觉参考</x:v>
      </x:c>
      <x:c r="O3" s="25" t="str">
        <x:v>进入路线说明前让目标完全清楚</x:v>
      </x:c>
      <x:c r="P3" s="25" t="str">
        <x:v>最高</x:v>
      </x:c>
      <x:c r="Q3" s="40" t="str">
        <x:v>待生成</x:v>
      </x:c>
    </x:row>
    <x:row r="4">
      <x:c r="A4" s="39" t="str">
        <x:v>P03</x:v>
      </x:c>
      <x:c r="B4" s="25" t="str">
        <x:v>P03</x:v>
      </x:c>
      <x:c r="C4" s="25" t="str">
        <x:v>公共</x:v>
      </x:c>
      <x:c r="D4" s="25" t="str">
        <x:v>两条路线</x:v>
      </x:c>
      <x:c r="E4" s="25" t="str">
        <x:v>公共建立</x:v>
      </x:c>
      <x:c r="F4" s="25" t="str">
        <x:v>Day 0 · 09:00</x:v>
      </x:c>
      <x:c r="G4" s="25" t="str">
        <x:v>营地帐篷/地图</x:v>
      </x:c>
      <x:c r="H4" s="25" t="str">
        <x:v>翻山7–10天快但危险；谷地2–3周较稳但慢</x:v>
      </x:c>
      <x:c r="I4" s="25" t="str">
        <x:v>地图手势先山路后谷地</x:v>
      </x:c>
      <x:c r="J4" s="25" t="str">
        <x:v>不能推荐答案</x:v>
      </x:c>
      <x:c r="K4" s="25" t="str">
        <x:v>PUB03A</x:v>
      </x:c>
      <x:c r="L4" s="25" t="str">
        <x:v>10–12s</x:v>
      </x:c>
      <x:c r="M4" s="25" t="str">
        <x:v>R0/R2 复用候选</x:v>
      </x:c>
      <x:c r="N4" s="25" t="str">
        <x:v>E02-S01高价值候选</x:v>
      </x:c>
      <x:c r="O4" s="25" t="str">
        <x:v>尾帧停在地图/老周，接天气</x:v>
      </x:c>
      <x:c r="P4" s="25" t="str">
        <x:v>高</x:v>
      </x:c>
      <x:c r="Q4" s="40" t="str">
        <x:v>待旧素材验收</x:v>
      </x:c>
    </x:row>
    <x:row r="5">
      <x:c r="A5" s="39" t="str">
        <x:v>P04</x:v>
      </x:c>
      <x:c r="B5" s="25" t="str">
        <x:v>P04</x:v>
      </x:c>
      <x:c r="C5" s="25" t="str">
        <x:v>公共</x:v>
      </x:c>
      <x:c r="D5" s="25" t="str">
        <x:v>还不知道的天气</x:v>
      </x:c>
      <x:c r="E5" s="25" t="str">
        <x:v>公共建立</x:v>
      </x:c>
      <x:c r="F5" s="25" t="str">
        <x:v>Day 0 · 09:00</x:v>
      </x:c>
      <x:c r="G5" s="25" t="str">
        <x:v>帐篷/门外天气</x:v>
      </x:c>
      <x:c r="H5" s="25" t="str">
        <x:v>48小时后确认是否有暴风；若有暴风，再约一天判断山路是否可通</x:v>
      </x:c>
      <x:c r="I5" s="25" t="str">
        <x:v>天气不确定→两级信息</x:v>
      </x:c>
      <x:c r="J5" s="25" t="str">
        <x:v>不能把“是否有暴风”直接说成“是否封山”</x:v>
      </x:c>
      <x:c r="K5" s="25" t="str">
        <x:v>PUB04A,PUB04B</x:v>
      </x:c>
      <x:c r="L5" s="25" t="str">
        <x:v>14–18s</x:v>
      </x:c>
      <x:c r="M5" s="25" t="str">
        <x:v>R2 部分复用</x:v>
      </x:c>
      <x:c r="N5" s="25" t="str">
        <x:v>E02-S02环境/动作可参考</x:v>
      </x:c>
      <x:c r="O5" s="25" t="str">
        <x:v>尾帧视线落到伤手</x:v>
      </x:c>
      <x:c r="P5" s="25" t="str">
        <x:v>最高</x:v>
      </x:c>
      <x:c r="Q5" s="40" t="str">
        <x:v>需补片或重做</x:v>
      </x:c>
    </x:row>
    <x:row r="6">
      <x:c r="A6" s="39" t="str">
        <x:v>P05</x:v>
      </x:c>
      <x:c r="B6" s="25" t="str">
        <x:v>P05</x:v>
      </x:c>
      <x:c r="C6" s="25" t="str">
        <x:v>公共</x:v>
      </x:c>
      <x:c r="D6" s="25" t="str">
        <x:v>左手能力边界</x:v>
      </x:c>
      <x:c r="E6" s="25" t="str">
        <x:v>公共建立</x:v>
      </x:c>
      <x:c r="F6" s="25" t="str">
        <x:v>Day 0 · 09:00</x:v>
      </x:c>
      <x:c r="G6" s="25" t="str">
        <x:v>帐篷</x:v>
      </x:c>
      <x:c r="H6" s="25" t="str">
        <x:v>左手不是一直坏，但失力时无法控制</x:v>
      </x:c>
      <x:c r="I6" s="25" t="str">
        <x:v>阿杰进入→检查左手→客观说明</x:v>
      </x:c>
      <x:c r="J6" s="25" t="str">
        <x:v>不替玩家判断哪条路线正确</x:v>
      </x:c>
      <x:c r="K6" s="25" t="str">
        <x:v>PUB05A</x:v>
      </x:c>
      <x:c r="L6" s="25" t="str">
        <x:v>8–10s</x:v>
      </x:c>
      <x:c r="M6" s="25" t="str">
        <x:v>R2 画面候选</x:v>
      </x:c>
      <x:c r="N6" s="25" t="str">
        <x:v>E02-S03人物动作可参考</x:v>
      </x:c>
      <x:c r="O6" s="25" t="str">
        <x:v>尾帧抬头看玩家/团队</x:v>
      </x:c>
      <x:c r="P6" s="25" t="str">
        <x:v>高</x:v>
      </x:c>
      <x:c r="Q6" s="40" t="str">
        <x:v>对白建议重做</x:v>
      </x:c>
    </x:row>
    <x:row r="7">
      <x:c r="A7" s="39" t="str">
        <x:v>P06</x:v>
      </x:c>
      <x:c r="B7" s="25" t="str">
        <x:v>P06</x:v>
      </x:c>
      <x:c r="C7" s="25" t="str">
        <x:v>公共</x:v>
      </x:c>
      <x:c r="D7" s="25" t="str">
        <x:v>队长决定</x:v>
      </x:c>
      <x:c r="E7" s="25" t="str">
        <x:v>交互入口</x:v>
      </x:c>
      <x:c r="F7" s="25" t="str">
        <x:v>Day 0 · 09:00</x:v>
      </x:c>
      <x:c r="G7" s="25" t="str">
        <x:v>帐篷</x:v>
      </x:c>
      <x:c r="H7" s="25" t="str">
        <x:v>前述事实均已知</x:v>
      </x:c>
      <x:c r="I7" s="25" t="str">
        <x:v>阿杰退开→镜头抬起→三人等待</x:v>
      </x:c>
      <x:c r="J7" s="25" t="str">
        <x:v>视频只说“队长，决定吧”；按钮由Web</x:v>
      </x:c>
      <x:c r="K7" s="25" t="str">
        <x:v>PUB06A</x:v>
      </x:c>
      <x:c r="L7" s="25" t="str">
        <x:v>6–8s</x:v>
      </x:c>
      <x:c r="M7" s="25" t="str">
        <x:v>R0 直接复用</x:v>
      </x:c>
      <x:c r="N7" s="25" t="str">
        <x:v>E02-S04</x:v>
      </x:c>
      <x:c r="O7" s="25" t="str">
        <x:v>冻结尾帧叠Web四选项</x:v>
      </x:c>
      <x:c r="P7" s="25" t="str">
        <x:v>最高</x:v>
      </x:c>
      <x:c r="Q7" s="40" t="str">
        <x:v>优先直接复用</x:v>
      </x:c>
    </x:row>
    <x:row r="8">
      <x:c r="A8" s="39" t="str">
        <x:v>A01</x:v>
      </x:c>
      <x:c r="B8" s="25" t="str">
        <x:v>A01</x:v>
      </x:c>
      <x:c r="C8" s="25" t="str">
        <x:v>A</x:v>
      </x:c>
      <x:c r="D8" s="25" t="str">
        <x:v>翻山前期正反馈</x:v>
      </x:c>
      <x:c r="E8" s="25" t="str">
        <x:v>路线推进</x:v>
      </x:c>
      <x:c r="F8" s="25" t="str">
        <x:v>Day 0–2</x:v>
      </x:c>
      <x:c r="G8" s="25" t="str">
        <x:v>山路前段</x:v>
      </x:c>
      <x:c r="H8" s="25" t="str">
        <x:v>A真的更快；风险确实换到时间</x:v>
      </x:c>
      <x:c r="I8" s="25" t="str">
        <x:v>快速推进→山脊更近→沈岚反馈还有余量</x:v>
      </x:c>
      <x:c r="J8" s="25" t="str">
        <x:v>不要马上加“但是”</x:v>
      </x:c>
      <x:c r="K8" s="25" t="str">
        <x:v>A01A,A01B</x:v>
      </x:c>
      <x:c r="L8" s="25" t="str">
        <x:v>14–18s</x:v>
      </x:c>
      <x:c r="M8" s="25" t="str">
        <x:v>R3 新生成</x:v>
      </x:c>
      <x:c r="N8" s="25" t="str">
        <x:v>旧山地素材可作视觉参考</x:v>
      </x:c>
      <x:c r="O8" s="25" t="str">
        <x:v>进入Day3天气变化</x:v>
      </x:c>
      <x:c r="P8" s="25" t="str">
        <x:v>中</x:v>
      </x:c>
      <x:c r="Q8" s="40" t="str">
        <x:v>待生成</x:v>
      </x:c>
    </x:row>
    <x:row r="9">
      <x:c r="A9" s="39" t="str">
        <x:v>A02</x:v>
      </x:c>
      <x:c r="B9" s="25" t="str">
        <x:v>A02</x:v>
      </x:c>
      <x:c r="C9" s="25" t="str">
        <x:v>A</x:v>
      </x:c>
      <x:c r="D9" s="25" t="str">
        <x:v>风险变了</x:v>
      </x:c>
      <x:c r="E9" s="25" t="str">
        <x:v>关键决策</x:v>
      </x:c>
      <x:c r="F9" s="25" t="str">
        <x:v>Day 3 · 12:00</x:v>
      </x:c>
      <x:c r="G9" s="25" t="str">
        <x:v>高地雪坡/背风岩壁</x:v>
      </x:c>
      <x:c r="H9" s="25" t="str">
        <x:v>天气升级；山路仍可走；左手失力；有背风处；现在还能撤</x:v>
      </x:c>
      <x:c r="I9" s="25" t="str">
        <x:v>天气变坏→失力/拉住→展示背风处/退路/成本</x:v>
      </x:c>
      <x:c r="J9" s="25" t="str">
        <x:v>选项事实必须全部在按钮前出现</x:v>
      </x:c>
      <x:c r="K9" s="25" t="str">
        <x:v>A02A,A02B,A02C</x:v>
      </x:c>
      <x:c r="L9" s="25" t="str">
        <x:v>24–32s</x:v>
      </x:c>
      <x:c r="M9" s="25" t="str">
        <x:v>R3 路线专属</x:v>
      </x:c>
      <x:c r="N9" s="25" t="str">
        <x:v>旧A0关键帧可参考</x:v>
      </x:c>
      <x:c r="O9" s="25" t="str">
        <x:v>真实尾帧适合Web三选项</x:v>
      </x:c>
      <x:c r="P9" s="25" t="str">
        <x:v>最高</x:v>
      </x:c>
      <x:c r="Q9" s="40" t="str">
        <x:v>第一轮重点制作</x:v>
      </x:c>
    </x:row>
    <x:row r="10">
      <x:c r="A10" s="39" t="str">
        <x:v>A03A</x:v>
      </x:c>
      <x:c r="B10" s="25" t="str">
        <x:v>A03A</x:v>
      </x:c>
      <x:c r="C10" s="25" t="str">
        <x:v>A</x:v>
      </x:c>
      <x:c r="D10" s="25" t="str">
        <x:v>继续后的账单</x:v>
      </x:c>
      <x:c r="E10" s="25" t="str">
        <x:v>后果兑现</x:v>
      </x:c>
      <x:c r="F10" s="25" t="str">
        <x:v>Day 4 · 18:00</x:v>
      </x:c>
      <x:c r="G10" s="25" t="str">
        <x:v>山路中后段</x:v>
      </x:c>
      <x:c r="H10" s="25" t="str">
        <x:v>继续保住时间；左手变成明确执行限制</x:v>
      </x:c>
      <x:c r="I10" s="25" t="str">
        <x:v>重新检查手→重新分工→继续走</x:v>
      </x:c>
      <x:c r="J10" s="25" t="str">
        <x:v>不能写成继续错误</x:v>
      </x:c>
      <x:c r="K10" s="25" t="str">
        <x:v>A03A1,A03A2</x:v>
      </x:c>
      <x:c r="L10" s="25" t="str">
        <x:v>16–20s</x:v>
      </x:c>
      <x:c r="M10" s="25" t="str">
        <x:v>R3 路线专属</x:v>
      </x:c>
      <x:c r="N10" s="25" t="str">
        <x:v>无直接复用</x:v>
      </x:c>
      <x:c r="O10" s="25" t="str">
        <x:v>进入A04继续前情变体</x:v>
      </x:c>
      <x:c r="P10" s="25" t="str">
        <x:v>高</x:v>
      </x:c>
      <x:c r="Q10" s="40" t="str">
        <x:v>待生成</x:v>
      </x:c>
    </x:row>
    <x:row r="11">
      <x:c r="A11" s="39" t="str">
        <x:v>A03B</x:v>
      </x:c>
      <x:c r="B11" s="25" t="str">
        <x:v>A03B</x:v>
      </x:c>
      <x:c r="C11" s="25" t="str">
        <x:v>A</x:v>
      </x:c>
      <x:c r="D11" s="25" t="str">
        <x:v>暂避后的账单</x:v>
      </x:c>
      <x:c r="E11" s="25" t="str">
        <x:v>后果兑现</x:v>
      </x:c>
      <x:c r="F11" s="25" t="str">
        <x:v>Day 3–5</x:v>
      </x:c>
      <x:c r="G11" s="25" t="str">
        <x:v>背风处→山路</x:v>
      </x:c>
      <x:c r="H11" s="25" t="str">
        <x:v>人更稳；约两天缓冲已花掉</x:v>
      </x:c>
      <x:c r="I11" s="25" t="str">
        <x:v>进入背风处→风雪/时间经过→重新出发→手更稳/时间更紧</x:v>
      </x:c>
      <x:c r="J11" s="25" t="str">
        <x:v>安全收益与时间代价都要成立</x:v>
      </x:c>
      <x:c r="K11" s="25" t="str">
        <x:v>A2FB-S1,A2FB-S2,A03B1,A03B2</x:v>
      </x:c>
      <x:c r="L11" s="25" t="str">
        <x:v>24–34s</x:v>
      </x:c>
      <x:c r="M11" s="25" t="str">
        <x:v>R3 路线专属</x:v>
      </x:c>
      <x:c r="N11" s="25" t="str">
        <x:v>无直接复用</x:v>
      </x:c>
      <x:c r="O11" s="25" t="str">
        <x:v>进入A04暂避前情变体</x:v>
      </x:c>
      <x:c r="P11" s="25" t="str">
        <x:v>高</x:v>
      </x:c>
      <x:c r="Q11" s="40" t="str">
        <x:v>待生成</x:v>
      </x:c>
    </x:row>
    <x:row r="12">
      <x:c r="A12" s="39" t="str">
        <x:v>A03R</x:v>
      </x:c>
      <x:c r="B12" s="25" t="str">
        <x:v>A03R</x:v>
      </x:c>
      <x:c r="C12" s="25" t="str">
        <x:v>A</x:v>
      </x:c>
      <x:c r="D12" s="25" t="str">
        <x:v>撤回转谷地</x:v>
      </x:c>
      <x:c r="E12" s="25" t="str">
        <x:v>路线切换</x:v>
      </x:c>
      <x:c r="F12" s="25" t="str">
        <x:v>Day 3或Day5–6后</x:v>
      </x:c>
      <x:c r="G12" s="25" t="str">
        <x:v>下撤→低地/谷地方向</x:v>
      </x:c>
      <x:c r="H12" s="25" t="str">
        <x:v>撤回不等于重置；前三天/前序投入不回来</x:v>
      </x:c>
      <x:c r="I12" s="25" t="str">
        <x:v>转身下撤→沈岚重算→接共享晚状态谷地</x:v>
      </x:c>
      <x:c r="J12" s="25" t="str">
        <x:v>不要播放B线Day0对白</x:v>
      </x:c>
      <x:c r="K12" s="25" t="str">
        <x:v>A2FB-R1,SH-VAL-01</x:v>
      </x:c>
      <x:c r="L12" s="25" t="str">
        <x:v>14–20s</x:v>
      </x:c>
      <x:c r="M12" s="25" t="str">
        <x:v>R1 母版+变体</x:v>
      </x:c>
      <x:c r="N12" s="25" t="str">
        <x:v>共享谷地母版</x:v>
      </x:c>
      <x:c r="O12" s="25" t="str">
        <x:v>进入X01；学生端显示窗口已失去</x:v>
      </x:c>
      <x:c r="P12" s="25" t="str">
        <x:v>中</x:v>
      </x:c>
      <x:c r="Q12" s="40" t="str">
        <x:v>待生成</x:v>
      </x:c>
    </x:row>
    <x:row r="13">
      <x:c r="A13" s="39" t="str">
        <x:v>A04</x:v>
      </x:c>
      <x:c r="B13" s="25" t="str">
        <x:v>A04</x:v>
      </x:c>
      <x:c r="C13" s="25" t="str">
        <x:v>A</x:v>
      </x:c>
      <x:c r="D13" s="25" t="str">
        <x:v>最后的回头点</x:v>
      </x:c>
      <x:c r="E13" s="25" t="str">
        <x:v>关键决策</x:v>
      </x:c>
      <x:c r="F13" s="25" t="str">
        <x:v>Day 5–6</x:v>
      </x:c>
      <x:c r="G13" s="25" t="str">
        <x:v>山路后段</x:v>
      </x:c>
      <x:c r="H13" s="25" t="str">
        <x:v>继续前情：手差但时间宽；暂避前情：手稳但时间紧；现在还能退</x:v>
      </x:c>
      <x:c r="I13" s="25" t="str">
        <x:v>前情短变体→公共最后回头点→Web三选项</x:v>
      </x:c>
      <x:c r="J13" s="25" t="str">
        <x:v>场景可汇合，历史不能清零</x:v>
      </x:c>
      <x:c r="K13" s="25" t="str">
        <x:v>A04V-A,A04V-B,A04C</x:v>
      </x:c>
      <x:c r="L13" s="25" t="str">
        <x:v>18–25s</x:v>
      </x:c>
      <x:c r="M13" s="25" t="str">
        <x:v>R1 母版+变体</x:v>
      </x:c>
      <x:c r="N13" s="25" t="str">
        <x:v>同一地貌母版</x:v>
      </x:c>
      <x:c r="O13" s="25" t="str">
        <x:v>尾帧叠Web三选项</x:v>
      </x:c>
      <x:c r="P13" s="25" t="str">
        <x:v>最高</x:v>
      </x:c>
      <x:c r="Q13" s="40" t="str">
        <x:v>第一轮重点制作</x:v>
      </x:c>
    </x:row>
    <x:row r="14">
      <x:c r="A14" s="39" t="str">
        <x:v>B01</x:v>
      </x:c>
      <x:c r="B14" s="25" t="str">
        <x:v>B01</x:v>
      </x:c>
      <x:c r="C14" s="25" t="str">
        <x:v>B</x:v>
      </x:c>
      <x:c r="D14" s="25" t="str">
        <x:v>山谷确实更稳</x:v>
      </x:c>
      <x:c r="E14" s="25" t="str">
        <x:v>路线推进</x:v>
      </x:c>
      <x:c r="F14" s="25" t="str">
        <x:v>Day 0–5</x:v>
      </x:c>
      <x:c r="G14" s="25" t="str">
        <x:v>谷地前段</x:v>
      </x:c>
      <x:c r="H14" s="25" t="str">
        <x:v>路线稳定；高地暴风远处可见；手负担低</x:v>
      </x:c>
      <x:c r="I14" s="25" t="str">
        <x:v>稳定行进蒙太奇→远处天气→“路没问题，就是长”</x:v>
      </x:c>
      <x:c r="J14" s="25" t="str">
        <x:v>不要制造断桥等事故</x:v>
      </x:c>
      <x:c r="K14" s="25" t="str">
        <x:v>B01A,B01B</x:v>
      </x:c>
      <x:c r="L14" s="25" t="str">
        <x:v>16–20s</x:v>
      </x:c>
      <x:c r="M14" s="25" t="str">
        <x:v>R3 路线专属</x:v>
      </x:c>
      <x:c r="N14" s="25" t="str">
        <x:v>旧B0桥剧情不复用</x:v>
      </x:c>
      <x:c r="O14" s="25" t="str">
        <x:v>进入Day6进度盘点</x:v>
      </x:c>
      <x:c r="P14" s="25" t="str">
        <x:v>中</x:v>
      </x:c>
      <x:c r="Q14" s="40" t="str">
        <x:v>待生成</x:v>
      </x:c>
    </x:row>
    <x:row r="15">
      <x:c r="A15" s="39" t="str">
        <x:v>B02</x:v>
      </x:c>
      <x:c r="B15" s="25" t="str">
        <x:v>B02</x:v>
      </x:c>
      <x:c r="C15" s="25" t="str">
        <x:v>B</x:v>
      </x:c>
      <x:c r="D15" s="25" t="str">
        <x:v>没有事故，但时间不对了</x:v>
      </x:c>
      <x:c r="E15" s="25" t="str">
        <x:v>关键决策</x:v>
      </x:c>
      <x:c r="F15" s="25" t="str">
        <x:v>Day 6</x:v>
      </x:c>
      <x:c r="G15" s="25" t="str">
        <x:v>谷地休整点</x:v>
      </x:c>
      <x:c r="H15" s="25" t="str">
        <x:v>Day0已知2–3周；前六天没出问题；实际节奏正指向约16天；只剩8天</x:v>
      </x:c>
      <x:c r="I15" s="25" t="str">
        <x:v>地图标位置→十天vs八天→老周/阿杰说明可提速但有代价</x:v>
      </x:c>
      <x:c r="J15" s="25" t="str">
        <x:v>不是突然发现数学事实，而是执行数据确认期限风险</x:v>
      </x:c>
      <x:c r="K15" s="25" t="str">
        <x:v>B02A,B02B</x:v>
      </x:c>
      <x:c r="L15" s="25" t="str">
        <x:v>16–22s</x:v>
      </x:c>
      <x:c r="M15" s="25" t="str">
        <x:v>R3 路线专属</x:v>
      </x:c>
      <x:c r="N15" s="25" t="str">
        <x:v>无旧剧情复用</x:v>
      </x:c>
      <x:c r="O15" s="25" t="str">
        <x:v>尾帧叠Web二选项</x:v>
      </x:c>
      <x:c r="P15" s="25" t="str">
        <x:v>最高</x:v>
      </x:c>
      <x:c r="Q15" s="40" t="str">
        <x:v>第一轮重点制作</x:v>
      </x:c>
    </x:row>
    <x:row r="16">
      <x:c r="A16" s="39" t="str">
        <x:v>B03A</x:v>
      </x:c>
      <x:c r="B16" s="25" t="str">
        <x:v>B03A</x:v>
      </x:c>
      <x:c r="C16" s="25" t="str">
        <x:v>B</x:v>
      </x:c>
      <x:c r="D16" s="25" t="str">
        <x:v>早提速的回响</x:v>
      </x:c>
      <x:c r="E16" s="25" t="str">
        <x:v>后果兑现</x:v>
      </x:c>
      <x:c r="F16" s="25" t="str">
        <x:v>Day 9</x:v>
      </x:c>
      <x:c r="G16" s="25" t="str">
        <x:v>谷地后段</x:v>
      </x:c>
      <x:c r="H16" s="25" t="str">
        <x:v>追回约一天；疲劳与伤手负担上升</x:v>
      </x:c>
      <x:c r="I16" s="25" t="str">
        <x:v>先报收益→再看疲劳→阿杰说几乎无恢复余量</x:v>
      </x:c>
      <x:c r="J16" s="25" t="str">
        <x:v>提速有效且有价格</x:v>
      </x:c>
      <x:c r="K16" s="25" t="str">
        <x:v>B03A1,B03A2</x:v>
      </x:c>
      <x:c r="L16" s="25" t="str">
        <x:v>14–18s</x:v>
      </x:c>
      <x:c r="M16" s="25" t="str">
        <x:v>R1 谷地后段母版</x:v>
      </x:c>
      <x:c r="N16" s="25" t="str">
        <x:v>可与B03B共环境</x:v>
      </x:c>
      <x:c r="O16" s="25" t="str">
        <x:v>进入B04A</x:v>
      </x:c>
      <x:c r="P16" s="25" t="str">
        <x:v>高</x:v>
      </x:c>
      <x:c r="Q16" s="40" t="str">
        <x:v>待生成</x:v>
      </x:c>
    </x:row>
    <x:row r="17">
      <x:c r="A17" s="39" t="str">
        <x:v>B03B</x:v>
      </x:c>
      <x:c r="B17" s="25" t="str">
        <x:v>B03B</x:v>
      </x:c>
      <x:c r="C17" s="25" t="str">
        <x:v>B</x:v>
      </x:c>
      <x:c r="D17" s="25" t="str">
        <x:v>稳走的回响</x:v>
      </x:c>
      <x:c r="E17" s="25" t="str">
        <x:v>后果兑现</x:v>
      </x:c>
      <x:c r="F17" s="25" t="str">
        <x:v>Day 9</x:v>
      </x:c>
      <x:c r="G17" s="25" t="str">
        <x:v>谷地后段</x:v>
      </x:c>
      <x:c r="H17" s="25" t="str">
        <x:v>人员状态好；原窗口按当前节奏已保不住</x:v>
      </x:c>
      <x:c r="I17" s="25" t="str">
        <x:v>稳态行动→沈岚确认期限→老周说现在追更狠</x:v>
      </x:c>
      <x:c r="J17" s="25" t="str">
        <x:v>不说早就该加速</x:v>
      </x:c>
      <x:c r="K17" s="25" t="str">
        <x:v>B03B1</x:v>
      </x:c>
      <x:c r="L17" s="25" t="str">
        <x:v>9–12s</x:v>
      </x:c>
      <x:c r="M17" s="25" t="str">
        <x:v>R1 谷地后段母版</x:v>
      </x:c>
      <x:c r="N17" s="25" t="str">
        <x:v>可与B03A共环境</x:v>
      </x:c>
      <x:c r="O17" s="25" t="str">
        <x:v>进入B04B</x:v>
      </x:c>
      <x:c r="P17" s="25" t="str">
        <x:v>高</x:v>
      </x:c>
      <x:c r="Q17" s="40" t="str">
        <x:v>待生成</x:v>
      </x:c>
    </x:row>
    <x:row r="18">
      <x:c r="A18" s="39" t="str">
        <x:v>B04</x:v>
      </x:c>
      <x:c r="B18" s="25" t="str">
        <x:v>B04</x:v>
      </x:c>
      <x:c r="C18" s="25" t="str">
        <x:v>B</x:v>
      </x:c>
      <x:c r="D18" s="25" t="str">
        <x:v>第二次节奏判断</x:v>
      </x:c>
      <x:c r="E18" s="25" t="str">
        <x:v>条件决策</x:v>
      </x:c>
      <x:c r="F18" s="25" t="str">
        <x:v>Day 9</x:v>
      </x:c>
      <x:c r="G18" s="25" t="str">
        <x:v>谷地后段休整点</x:v>
      </x:c>
      <x:c r="H18" s="25" t="str">
        <x:v>按Day6历史显示不同问题</x:v>
      </x:c>
      <x:c r="I18" s="25" t="str">
        <x:v>A变体：继续高强度/恢复；B变体：最后冲刺/继续稳走</x:v>
      </x:c>
      <x:c r="J18" s="25" t="str">
        <x:v>同一场景，两组条件按钮</x:v>
      </x:c>
      <x:c r="K18" s="25" t="str">
        <x:v>B04A,B04B</x:v>
      </x:c>
      <x:c r="L18" s="25" t="str">
        <x:v>18–24s（每局只看一组）</x:v>
      </x:c>
      <x:c r="M18" s="25" t="str">
        <x:v>R1 母版+变体</x:v>
      </x:c>
      <x:c r="N18" s="25" t="str">
        <x:v>同一休整母版</x:v>
      </x:c>
      <x:c r="O18" s="25" t="str">
        <x:v>尾帧叠条件Web二选项</x:v>
      </x:c>
      <x:c r="P18" s="25" t="str">
        <x:v>高</x:v>
      </x:c>
      <x:c r="Q18" s="40" t="str">
        <x:v>待生成</x:v>
      </x:c>
    </x:row>
    <x:row r="19">
      <x:c r="A19" s="39" t="str">
        <x:v>C01</x:v>
      </x:c>
      <x:c r="B19" s="25" t="str">
        <x:v>C01</x:v>
      </x:c>
      <x:c r="C19" s="25" t="str">
        <x:v>C</x:v>
      </x:c>
      <x:c r="D19" s="25" t="str">
        <x:v>等待48小时</x:v>
      </x:c>
      <x:c r="E19" s="25" t="str">
        <x:v>路线推进</x:v>
      </x:c>
      <x:c r="F19" s="25" t="str">
        <x:v>Day 0–2</x:v>
      </x:c>
      <x:c r="G19" s="25" t="str">
        <x:v>营地</x:v>
      </x:c>
      <x:c r="H19" s="25" t="str">
        <x:v>没有移动但时间在花；信息在积累；左手略恢复</x:v>
      </x:c>
      <x:c r="I19" s="25" t="str">
        <x:v>营地天气变化/观察→第二天→Day2信息到达</x:v>
      </x:c>
      <x:c r="J19" s="25" t="str">
        <x:v>不要用一个“48小时后”字幕跳过</x:v>
      </x:c>
      <x:c r="K19" s="25" t="str">
        <x:v>C01A,C01B</x:v>
      </x:c>
      <x:c r="L19" s="25" t="str">
        <x:v>18–24s</x:v>
      </x:c>
      <x:c r="M19" s="25" t="str">
        <x:v>R1 营地母版</x:v>
      </x:c>
      <x:c r="N19" s="25" t="str">
        <x:v>与D等待共享环境基底</x:v>
      </x:c>
      <x:c r="O19" s="25" t="str">
        <x:v>进入C02</x:v>
      </x:c>
      <x:c r="P19" s="25" t="str">
        <x:v>高</x:v>
      </x:c>
      <x:c r="Q19" s="40" t="str">
        <x:v>待生成</x:v>
      </x:c>
    </x:row>
    <x:row r="20">
      <x:c r="A20" s="39" t="str">
        <x:v>C02</x:v>
      </x:c>
      <x:c r="B20" s="25" t="str">
        <x:v>C02</x:v>
      </x:c>
      <x:c r="C20" s="25" t="str">
        <x:v>C</x:v>
      </x:c>
      <x:c r="D20" s="25" t="str">
        <x:v>第一份信息只解决一半</x:v>
      </x:c>
      <x:c r="E20" s="25" t="str">
        <x:v>关键决策</x:v>
      </x:c>
      <x:c r="F20" s="25" t="str">
        <x:v>Day 2</x:v>
      </x:c>
      <x:c r="G20" s="25" t="str">
        <x:v>营地</x:v>
      </x:c>
      <x:c r="H20" s="25" t="str">
        <x:v>确认有暴风；山口能否走仍未知；再等1天判断更可靠；现在走谷地也基本超期</x:v>
      </x:c>
      <x:c r="I20" s="25" t="str">
        <x:v>第一份消息→老周说明仍未知→沈岚说明两天已花/谷地期限</x:v>
      </x:c>
      <x:c r="J20" s="25" t="str">
        <x:v>让信息有价值但不给答案</x:v>
      </x:c>
      <x:c r="K20" s="25" t="str">
        <x:v>C02A,C02B</x:v>
      </x:c>
      <x:c r="L20" s="25" t="str">
        <x:v>16–22s</x:v>
      </x:c>
      <x:c r="M20" s="25" t="str">
        <x:v>R3 路线专属</x:v>
      </x:c>
      <x:c r="N20" s="25" t="str">
        <x:v>旧C0仅环境参考</x:v>
      </x:c>
      <x:c r="O20" s="25" t="str">
        <x:v>尾帧Web二选项</x:v>
      </x:c>
      <x:c r="P20" s="25" t="str">
        <x:v>最高</x:v>
      </x:c>
      <x:c r="Q20" s="40" t="str">
        <x:v>第一轮重点制作</x:v>
      </x:c>
    </x:row>
    <x:row r="21">
      <x:c r="A21" s="39" t="str">
        <x:v>C03</x:v>
      </x:c>
      <x:c r="B21" s="25" t="str">
        <x:v>C03</x:v>
      </x:c>
      <x:c r="C21" s="25" t="str">
        <x:v>C</x:v>
      </x:c>
      <x:c r="D21" s="25" t="str">
        <x:v>买到的是依据，不是答案</x:v>
      </x:c>
      <x:c r="E21" s="25" t="str">
        <x:v>关键决策</x:v>
      </x:c>
      <x:c r="F21" s="25" t="str">
        <x:v>Day 3</x:v>
      </x:c>
      <x:c r="G21" s="25" t="str">
        <x:v>营地</x:v>
      </x:c>
      <x:c r="H21" s="25" t="str">
        <x:v>山口未确认封死；最差阶段后有改善；仍有剩余风险；只剩11天</x:v>
      </x:c>
      <x:c r="I21" s="25" t="str">
        <x:v>第二轮信息→剩余11天→三条动作入口</x:v>
      </x:c>
      <x:c r="J21" s="25" t="str">
        <x:v>不能说“山路安全了”</x:v>
      </x:c>
      <x:c r="K21" s="25" t="str">
        <x:v>C03A,C03B</x:v>
      </x:c>
      <x:c r="L21" s="25" t="str">
        <x:v>16–20s</x:v>
      </x:c>
      <x:c r="M21" s="25" t="str">
        <x:v>R3 路线专属</x:v>
      </x:c>
      <x:c r="N21" s="25" t="str">
        <x:v>无直接复用</x:v>
      </x:c>
      <x:c r="O21" s="25" t="str">
        <x:v>尾帧Web三选项</x:v>
      </x:c>
      <x:c r="P21" s="25" t="str">
        <x:v>最高</x:v>
      </x:c>
      <x:c r="Q21" s="40" t="str">
        <x:v>第一轮重点制作</x:v>
      </x:c>
    </x:row>
    <x:row r="22">
      <x:c r="A22" s="39" t="str">
        <x:v>C04M</x:v>
      </x:c>
      <x:c r="B22" s="25" t="str">
        <x:v>C04M</x:v>
      </x:c>
      <x:c r="C22" s="25" t="str">
        <x:v>C</x:v>
      </x:c>
      <x:c r="D22" s="25" t="str">
        <x:v>带着信息进入山路</x:v>
      </x:c>
      <x:c r="E22" s="25" t="str">
        <x:v>路线切换</x:v>
      </x:c>
      <x:c r="F22" s="25" t="str">
        <x:v>Day 3起</x:v>
      </x:c>
      <x:c r="G22" s="25" t="str">
        <x:v>低处山路</x:v>
      </x:c>
      <x:c r="H22" s="25" t="str">
        <x:v>前三天信息换到更好的出发时点</x:v>
      </x:c>
      <x:c r="I22" s="25" t="str">
        <x:v>出发→共享中性山路母版→“最差那段没撞上”</x:v>
      </x:c>
      <x:c r="J22" s="25" t="str">
        <x:v>不能变成晚三天的A</x:v>
      </x:c>
      <x:c r="K22" s="25" t="str">
        <x:v>C04M1,SH-MTN-01</x:v>
      </x:c>
      <x:c r="L22" s="25" t="str">
        <x:v>14–18s</x:v>
      </x:c>
      <x:c r="M22" s="25" t="str">
        <x:v>R1 母版+变体</x:v>
      </x:c>
      <x:c r="N22" s="25" t="str">
        <x:v>共享山路母版</x:v>
      </x:c>
      <x:c r="O22" s="25" t="str">
        <x:v>进入C05</x:v>
      </x:c>
      <x:c r="P22" s="25" t="str">
        <x:v>中</x:v>
      </x:c>
      <x:c r="Q22" s="40" t="str">
        <x:v>待生成</x:v>
      </x:c>
    </x:row>
    <x:row r="23">
      <x:c r="A23" s="39" t="str">
        <x:v>C04V</x:v>
      </x:c>
      <x:c r="B23" s="25" t="str">
        <x:v>C04V</x:v>
      </x:c>
      <x:c r="C23" s="25" t="str">
        <x:v>C</x:v>
      </x:c>
      <x:c r="D23" s="25" t="str">
        <x:v>带着等待历史进入谷地</x:v>
      </x:c>
      <x:c r="E23" s="25" t="str">
        <x:v>路线切换</x:v>
      </x:c>
      <x:c r="F23" s="25" t="str">
        <x:v>Day 2/3或Day7后</x:v>
      </x:c>
      <x:c r="G23" s="25" t="str">
        <x:v>谷地</x:v>
      </x:c>
      <x:c r="H23" s="25" t="str">
        <x:v>转谷地时前面等待/山路历史不清零</x:v>
      </x:c>
      <x:c r="I23" s="25" t="str">
        <x:v>短前情变体→共享晚状态谷地</x:v>
      </x:c>
      <x:c r="J23" s="25" t="str">
        <x:v>不同进入点用不同一句对白</x:v>
      </x:c>
      <x:c r="K23" s="25" t="str">
        <x:v>C04V-A/C04V-B,SH-VAL-01</x:v>
      </x:c>
      <x:c r="L23" s="25" t="str">
        <x:v>12–18s</x:v>
      </x:c>
      <x:c r="M23" s="25" t="str">
        <x:v>R1 母版+变体</x:v>
      </x:c>
      <x:c r="N23" s="25" t="str">
        <x:v>共享谷地母版</x:v>
      </x:c>
      <x:c r="O23" s="25" t="str">
        <x:v>进入X01</x:v>
      </x:c>
      <x:c r="P23" s="25" t="str">
        <x:v>中</x:v>
      </x:c>
      <x:c r="Q23" s="40" t="str">
        <x:v>待生成</x:v>
      </x:c>
    </x:row>
    <x:row r="24">
      <x:c r="A24" s="39" t="str">
        <x:v>C05</x:v>
      </x:c>
      <x:c r="B24" s="25" t="str">
        <x:v>C05</x:v>
      </x:c>
      <x:c r="C24" s="25" t="str">
        <x:v>C</x:v>
      </x:c>
      <x:c r="D24" s="25" t="str">
        <x:v>信息第一次证明有用</x:v>
      </x:c>
      <x:c r="E24" s="25" t="str">
        <x:v>正反馈</x:v>
      </x:c>
      <x:c r="F24" s="25" t="str">
        <x:v>Day 3–7</x:v>
      </x:c>
      <x:c r="G24" s="25" t="str">
        <x:v>共享山路</x:v>
      </x:c>
      <x:c r="H24" s="25" t="str">
        <x:v>没有撞上最差暴风；推进符合判断</x:v>
      </x:c>
      <x:c r="I24" s="25" t="str">
        <x:v>共享山路推进→老周说现在能走→沈岚“至少没白等”</x:v>
      </x:c>
      <x:c r="J24" s="25" t="str">
        <x:v>不要立刻再制造危机</x:v>
      </x:c>
      <x:c r="K24" s="25" t="str">
        <x:v>SH-MTN-02,C05A</x:v>
      </x:c>
      <x:c r="L24" s="25" t="str">
        <x:v>12–16s</x:v>
      </x:c>
      <x:c r="M24" s="25" t="str">
        <x:v>R1 母版+变体</x:v>
      </x:c>
      <x:c r="N24" s="25" t="str">
        <x:v>共享山路母版</x:v>
      </x:c>
      <x:c r="O24" s="25" t="str">
        <x:v>进入C06</x:v>
      </x:c>
      <x:c r="P24" s="25" t="str">
        <x:v>中</x:v>
      </x:c>
      <x:c r="Q24" s="40" t="str">
        <x:v>待生成</x:v>
      </x:c>
    </x:row>
    <x:row r="25">
      <x:c r="A25" s="39" t="str">
        <x:v>C06</x:v>
      </x:c>
      <x:c r="B25" s="25" t="str">
        <x:v>C06</x:v>
      </x:c>
      <x:c r="C25" s="25" t="str">
        <x:v>C</x:v>
      </x:c>
      <x:c r="D25" s="25" t="str">
        <x:v>现实继续更新</x:v>
      </x:c>
      <x:c r="E25" s="25" t="str">
        <x:v>关键决策</x:v>
      </x:c>
      <x:c r="F25" s="25" t="str">
        <x:v>约Day 7</x:v>
      </x:c>
      <x:c r="G25" s="25" t="str">
        <x:v>山路现场</x:v>
      </x:c>
      <x:c r="H25" s="25" t="str">
        <x:v>大方向对；风降得比预计慢；按原计划仍有余量；多观察会吃掉大部分余量</x:v>
      </x:c>
      <x:c r="I25" s="25" t="str">
        <x:v>观察山口→老周说偏差→沈岚说明两个时间选择→Web</x:v>
      </x:c>
      <x:c r="J25" s="25" t="str">
        <x:v>不是“预报错了”</x:v>
      </x:c>
      <x:c r="K25" s="25" t="str">
        <x:v>C06A,C06B</x:v>
      </x:c>
      <x:c r="L25" s="25" t="str">
        <x:v>16–22s</x:v>
      </x:c>
      <x:c r="M25" s="25" t="str">
        <x:v>R1 山路后段母版+变体</x:v>
      </x:c>
      <x:c r="N25" s="25" t="str">
        <x:v>可与D05共部分地貌</x:v>
      </x:c>
      <x:c r="O25" s="25" t="str">
        <x:v>尾帧Web三选项</x:v>
      </x:c>
      <x:c r="P25" s="25" t="str">
        <x:v>高</x:v>
      </x:c>
      <x:c r="Q25" s="40" t="str">
        <x:v>待生成</x:v>
      </x:c>
    </x:row>
    <x:row r="26">
      <x:c r="A26" s="39" t="str">
        <x:v>D01</x:v>
      </x:c>
      <x:c r="B26" s="25" t="str">
        <x:v>D01</x:v>
      </x:c>
      <x:c r="C26" s="25" t="str">
        <x:v>D</x:v>
      </x:c>
      <x:c r="D26" s="25" t="str">
        <x:v>安全等待真的买到东西</x:v>
      </x:c>
      <x:c r="E26" s="25" t="str">
        <x:v>路线推进</x:v>
      </x:c>
      <x:c r="F26" s="25" t="str">
        <x:v>Day 0–5</x:v>
      </x:c>
      <x:c r="G26" s="25" t="str">
        <x:v>营地</x:v>
      </x:c>
      <x:c r="H26" s="25" t="str">
        <x:v>没有进高地；暴风真实发生；手与体力恢复</x:v>
      </x:c>
      <x:c r="I26" s="25" t="str">
        <x:v>营地外暴风/内安全→恢复动作→人物确认状态</x:v>
      </x:c>
      <x:c r="J26" s="25" t="str">
        <x:v>不要做灰暗认输蒙太奇</x:v>
      </x:c>
      <x:c r="K26" s="25" t="str">
        <x:v>D01A,D01B</x:v>
      </x:c>
      <x:c r="L26" s="25" t="str">
        <x:v>18–24s</x:v>
      </x:c>
      <x:c r="M26" s="25" t="str">
        <x:v>R1 营地母版</x:v>
      </x:c>
      <x:c r="N26" s="25" t="str">
        <x:v>与C01共环境基底</x:v>
      </x:c>
      <x:c r="O26" s="25" t="str">
        <x:v>进入D02</x:v>
      </x:c>
      <x:c r="P26" s="25" t="str">
        <x:v>高</x:v>
      </x:c>
      <x:c r="Q26" s="40" t="str">
        <x:v>待生成</x:v>
      </x:c>
    </x:row>
    <x:row r="27">
      <x:c r="A27" s="39" t="str">
        <x:v>D02</x:v>
      </x:c>
      <x:c r="B27" s="25" t="str">
        <x:v>D02</x:v>
      </x:c>
      <x:c r="C27" s="25" t="str">
        <x:v>D</x:v>
      </x:c>
      <x:c r="D27" s="25" t="str">
        <x:v>世界后来变了</x:v>
      </x:c>
      <x:c r="E27" s="25" t="str">
        <x:v>关键铺垫</x:v>
      </x:c>
      <x:c r="F27" s="25" t="str">
        <x:v>Day 5下午</x:v>
      </x:c>
      <x:c r="G27" s="25" t="str">
        <x:v>营地/外部天气</x:v>
      </x:c>
      <x:c r="H27" s="25" t="str">
        <x:v>暴风峰值过；出现短改善；不是长期安全；身体更好；只剩8天多</x:v>
      </x:c>
      <x:c r="I27" s="25" t="str">
        <x:v>天气改善→老周判断→沈岚剩余时间→阿杰手更稳</x:v>
      </x:c>
      <x:c r="J27" s="25" t="str">
        <x:v>天气更好+身体更好+时间更少同时成立</x:v>
      </x:c>
      <x:c r="K27" s="25" t="str">
        <x:v>D02A,D02B</x:v>
      </x:c>
      <x:c r="L27" s="25" t="str">
        <x:v>16–20s</x:v>
      </x:c>
      <x:c r="M27" s="25" t="str">
        <x:v>R3 路线专属</x:v>
      </x:c>
      <x:c r="N27" s="25" t="str">
        <x:v>旧D0竞争者剧情不复用</x:v>
      </x:c>
      <x:c r="O27" s="25" t="str">
        <x:v>进入D03</x:v>
      </x:c>
      <x:c r="P27" s="25" t="str">
        <x:v>最高</x:v>
      </x:c>
      <x:c r="Q27" s="40" t="str">
        <x:v>第一轮重点制作</x:v>
      </x:c>
    </x:row>
    <x:row r="28">
      <x:c r="A28" s="39" t="str">
        <x:v>D03</x:v>
      </x:c>
      <x:c r="B28" s="25" t="str">
        <x:v>D03</x:v>
      </x:c>
      <x:c r="C28" s="25" t="str">
        <x:v>D</x:v>
      </x:c>
      <x:c r="D28" s="25" t="str">
        <x:v>还坚持原计划吗</x:v>
      </x:c>
      <x:c r="E28" s="25" t="str">
        <x:v>关键决策</x:v>
      </x:c>
      <x:c r="F28" s="25" t="str">
        <x:v>Day 5下午</x:v>
      </x:c>
      <x:c r="G28" s="25" t="str">
        <x:v>营地</x:v>
      </x:c>
      <x:c r="H28" s="25" t="str">
        <x:v>D02事实均已知</x:v>
      </x:c>
      <x:c r="I28" s="25" t="str">
        <x:v>人物停下来等待→Web二选项</x:v>
      </x:c>
      <x:c r="J28" s="25" t="str">
        <x:v>不追加新事件</x:v>
      </x:c>
      <x:c r="K28" s="25" t="str">
        <x:v>D03A</x:v>
      </x:c>
      <x:c r="L28" s="25" t="str">
        <x:v>6–8s</x:v>
      </x:c>
      <x:c r="M28" s="25" t="str">
        <x:v>R1 营地母版</x:v>
      </x:c>
      <x:c r="N28" s="25" t="str">
        <x:v>可用D02尾帧续接</x:v>
      </x:c>
      <x:c r="O28" s="25" t="str">
        <x:v>尾帧Web二选项</x:v>
      </x:c>
      <x:c r="P28" s="25" t="str">
        <x:v>最高</x:v>
      </x:c>
      <x:c r="Q28" s="40" t="str">
        <x:v>第一轮重点制作</x:v>
      </x:c>
    </x:row>
    <x:row r="29">
      <x:c r="A29" s="39" t="str">
        <x:v>D04A</x:v>
      </x:c>
      <x:c r="B29" s="25" t="str">
        <x:v>D04A</x:v>
      </x:c>
      <x:c r="C29" s="25" t="str">
        <x:v>D</x:v>
      </x:c>
      <x:c r="D29" s="25" t="str">
        <x:v>把安全等待兑现</x:v>
      </x:c>
      <x:c r="E29" s="25" t="str">
        <x:v>结果推进</x:v>
      </x:c>
      <x:c r="F29" s="25" t="str">
        <x:v>Day 5以后</x:v>
      </x:c>
      <x:c r="G29" s="25" t="str">
        <x:v>营地→安全返程</x:v>
      </x:c>
      <x:c r="H29" s="25" t="str">
        <x:v>再次确认安全优先；窗口过去；最终安全返回</x:v>
      </x:c>
      <x:c r="I29" s="25" t="str">
        <x:v>继续长期等待蒙太奇→Day14已过→真正稳定后返程</x:v>
      </x:c>
      <x:c r="J29" s="25" t="str">
        <x:v>不做惩罚结局</x:v>
      </x:c>
      <x:c r="K29" s="25" t="str">
        <x:v>D04A1,D04A2,SH-SAFE-01</x:v>
      </x:c>
      <x:c r="L29" s="25" t="str">
        <x:v>22–30s</x:v>
      </x:c>
      <x:c r="M29" s="25" t="str">
        <x:v>R1 母版+变体</x:v>
      </x:c>
      <x:c r="N29" s="25" t="str">
        <x:v>共享安全返程母版</x:v>
      </x:c>
      <x:c r="O29" s="25" t="str">
        <x:v>进入X02</x:v>
      </x:c>
      <x:c r="P29" s="25" t="str">
        <x:v>中</x:v>
      </x:c>
      <x:c r="Q29" s="40" t="str">
        <x:v>待生成</x:v>
      </x:c>
    </x:row>
    <x:row r="30">
      <x:c r="A30" s="39" t="str">
        <x:v>D04B</x:v>
      </x:c>
      <x:c r="B30" s="25" t="str">
        <x:v>D04B</x:v>
      </x:c>
      <x:c r="C30" s="25" t="str">
        <x:v>D</x:v>
      </x:c>
      <x:c r="D30" s="25" t="str">
        <x:v>反转进入晚状态山路</x:v>
      </x:c>
      <x:c r="E30" s="25" t="str">
        <x:v>路线切换</x:v>
      </x:c>
      <x:c r="F30" s="25" t="str">
        <x:v>Day 5–6</x:v>
      </x:c>
      <x:c r="G30" s="25" t="str">
        <x:v>低处山路</x:v>
      </x:c>
      <x:c r="H30" s="25" t="str">
        <x:v>天气更好；身体更好；时间更少</x:v>
      </x:c>
      <x:c r="I30" s="25" t="str">
        <x:v>重新出发→共享山路→三句前情对白</x:v>
      </x:c>
      <x:c r="J30" s="25" t="str">
        <x:v>不是重新点A</x:v>
      </x:c>
      <x:c r="K30" s="25" t="str">
        <x:v>D04B1,SH-MTN-01,D04B2</x:v>
      </x:c>
      <x:c r="L30" s="25" t="str">
        <x:v>18–24s</x:v>
      </x:c>
      <x:c r="M30" s="25" t="str">
        <x:v>R1 母版+变体</x:v>
      </x:c>
      <x:c r="N30" s="25" t="str">
        <x:v>共享山路母版</x:v>
      </x:c>
      <x:c r="O30" s="25" t="str">
        <x:v>进入D05</x:v>
      </x:c>
      <x:c r="P30" s="25" t="str">
        <x:v>高</x:v>
      </x:c>
      <x:c r="Q30" s="40" t="str">
        <x:v>待生成</x:v>
      </x:c>
    </x:row>
    <x:row r="31">
      <x:c r="A31" s="39" t="str">
        <x:v>D05</x:v>
      </x:c>
      <x:c r="B31" s="25" t="str">
        <x:v>D05</x:v>
      </x:c>
      <x:c r="C31" s="25" t="str">
        <x:v>D</x:v>
      </x:c>
      <x:c r="D31" s="25" t="str">
        <x:v>反转后的再判断</x:v>
      </x:c>
      <x:c r="E31" s="25" t="str">
        <x:v>关键决策</x:v>
      </x:c>
      <x:c r="F31" s="25" t="str">
        <x:v>Day 8–9</x:v>
      </x:c>
      <x:c r="G31" s="25" t="str">
        <x:v>山路后段</x:v>
      </x:c>
      <x:c r="H31" s="25" t="str">
        <x:v>总体顺利但普通小延误；按当前速度窗口还在，只剩小时级缓冲；降速更保护人</x:v>
      </x:c>
      <x:c r="I31" s="25" t="str">
        <x:v>小延误→进度重算→阿杰身体事实→Web</x:v>
      </x:c>
      <x:c r="J31" s="25" t="str">
        <x:v>绝不再发明大灾难</x:v>
      </x:c>
      <x:c r="K31" s="25" t="str">
        <x:v>D05A,D05B</x:v>
      </x:c>
      <x:c r="L31" s="25" t="str">
        <x:v>16–22s</x:v>
      </x:c>
      <x:c r="M31" s="25" t="str">
        <x:v>R1 山路后段母版+变体</x:v>
      </x:c>
      <x:c r="N31" s="25" t="str">
        <x:v>可与C06共地貌</x:v>
      </x:c>
      <x:c r="O31" s="25" t="str">
        <x:v>尾帧Web二选项</x:v>
      </x:c>
      <x:c r="P31" s="25" t="str">
        <x:v>高</x:v>
      </x:c>
      <x:c r="Q31" s="40" t="str">
        <x:v>待生成</x:v>
      </x:c>
    </x:row>
    <x:row r="32">
      <x:c r="A32" s="39" t="str">
        <x:v>X01</x:v>
      </x:c>
      <x:c r="B32" s="25" t="str">
        <x:v>X01</x:v>
      </x:c>
      <x:c r="C32" s="25" t="str">
        <x:v>共享</x:v>
      </x:c>
      <x:c r="D32" s="25" t="str">
        <x:v>到达/期限结算</x:v>
      </x:c>
      <x:c r="E32" s="25" t="str">
        <x:v>共享结算</x:v>
      </x:c>
      <x:c r="F32" s="25" t="str">
        <x:v>按路径动态</x:v>
      </x:c>
      <x:c r="G32" s="25" t="str">
        <x:v>镇/办事地点附近</x:v>
      </x:c>
      <x:c r="H32" s="25" t="str">
        <x:v>实际到达；期限状态；人员状态；前序选择代价</x:v>
      </x:c>
      <x:c r="I32" s="25" t="str">
        <x:v>接近镇母版→到达办事地点中性镜头→Web叠加结果</x:v>
      </x:c>
      <x:c r="J32" s="25" t="str">
        <x:v>超期不等于土地已被别人买走</x:v>
      </x:c>
      <x:c r="K32" s="25" t="str">
        <x:v>SH-TOWN-01,SH-TOWN-02</x:v>
      </x:c>
      <x:c r="L32" s="25" t="str">
        <x:v>12–18s</x:v>
      </x:c>
      <x:c r="M32" s="25" t="str">
        <x:v>R0/R1 共享母版</x:v>
      </x:c>
      <x:c r="N32" s="25" t="str">
        <x:v>多路线共享</x:v>
      </x:c>
      <x:c r="O32" s="25" t="str">
        <x:v>进入R01 Web报告</x:v>
      </x:c>
      <x:c r="P32" s="25" t="str">
        <x:v>高</x:v>
      </x:c>
      <x:c r="Q32" s="40" t="str">
        <x:v>待生成</x:v>
      </x:c>
    </x:row>
    <x:row r="33">
      <x:c r="A33" s="41" t="str">
        <x:v>X02</x:v>
      </x:c>
      <x:c r="B33" s="42" t="str">
        <x:v>X02</x:v>
      </x:c>
      <x:c r="C33" s="42" t="str">
        <x:v>共享</x:v>
      </x:c>
      <x:c r="D33" s="42" t="str">
        <x:v>主动放弃/安全返回结算</x:v>
      </x:c>
      <x:c r="E33" s="42" t="str">
        <x:v>共享结算</x:v>
      </x:c>
      <x:c r="F33" s="42" t="str">
        <x:v>按路径动态</x:v>
      </x:c>
      <x:c r="G33" s="42" t="str">
        <x:v>安全返程空间</x:v>
      </x:c>
      <x:c r="H33" s="42" t="str">
        <x:v>原窗口已放弃/过去；人员得到保护</x:v>
      </x:c>
      <x:c r="I33" s="42" t="str">
        <x:v>安全返程母版→团队完整尾声→Web叠加结果</x:v>
      </x:c>
      <x:c r="J33" s="42" t="str">
        <x:v>不诱导重新争机会</x:v>
      </x:c>
      <x:c r="K33" s="42" t="str">
        <x:v>SH-SAFE-01,SH-SAFE-02</x:v>
      </x:c>
      <x:c r="L33" s="42" t="str">
        <x:v>12–18s</x:v>
      </x:c>
      <x:c r="M33" s="42" t="str">
        <x:v>R0/R1 共享母版</x:v>
      </x:c>
      <x:c r="N33" s="42" t="str">
        <x:v>C退出/D长期等待共享</x:v>
      </x:c>
      <x:c r="O33" s="42" t="str">
        <x:v>进入R01 Web报告</x:v>
      </x:c>
      <x:c r="P33" s="42" t="str">
        <x:v>中</x:v>
      </x:c>
      <x:c r="Q33" s="43" t="str">
        <x:v>待生成</x:v>
      </x:c>
    </x:row>
  </x:sheetData>
  <x:conditionalFormatting sqref="C2:C33">
    <x:cfRule type="expression" dxfId="0" priority="1">
      <x:formula>C2="公共"</x:formula>
    </x:cfRule>
    <x:cfRule type="expression" dxfId="1" priority="2">
      <x:formula>C2="共享"</x:formula>
    </x:cfRule>
    <x:cfRule type="expression" dxfId="2" priority="3">
      <x:formula>C2="A"</x:formula>
    </x:cfRule>
    <x:cfRule type="expression" dxfId="3" priority="4">
      <x:formula>C2="B"</x:formula>
    </x:cfRule>
    <x:cfRule type="expression" dxfId="4" priority="5">
      <x:formula>C2="C"</x:formula>
    </x:cfRule>
    <x:cfRule type="expression" dxfId="5" priority="6">
      <x:formula>C2="D"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424410cd6448c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8" hidden="0" customWidth="1"/>
    <x:col min="4" max="4" width="18" hidden="0" customWidth="1"/>
    <x:col min="5" max="5" width="14" hidden="0" customWidth="1"/>
    <x:col min="6" max="6" width="16" hidden="0" customWidth="1"/>
    <x:col min="7" max="7" width="44" hidden="0" customWidth="1"/>
    <x:col min="8" max="8" width="42" hidden="0" customWidth="1"/>
    <x:col min="9" max="9" width="38" hidden="0" customWidth="1"/>
    <x:col min="10" max="10" width="32" hidden="0" customWidth="1"/>
    <x:col min="11" max="11" width="28" hidden="0" customWidth="1"/>
    <x:col min="12" max="12" width="10" hidden="0" customWidth="1"/>
    <x:col min="13" max="13" width="18" hidden="0" customWidth="1"/>
  </x:cols>
  <x:sheetData>
    <x:row r="1">
      <x:c r="A1" s="59" t="str">
        <x:v>片段ID</x:v>
      </x:c>
      <x:c r="B1" s="60" t="str">
        <x:v>场景组</x:v>
      </x:c>
      <x:c r="C1" s="60" t="str">
        <x:v>路线</x:v>
      </x:c>
      <x:c r="D1" s="60" t="str">
        <x:v>生产类型</x:v>
      </x:c>
      <x:c r="E1" s="60" t="str">
        <x:v>复用级别</x:v>
      </x:c>
      <x:c r="F1" s="60" t="str">
        <x:v>建议单片时长</x:v>
      </x:c>
      <x:c r="G1" s="60" t="str">
        <x:v>核心画面/动作</x:v>
      </x:c>
      <x:c r="H1" s="60" t="str">
        <x:v>对白/声音</x:v>
      </x:c>
      <x:c r="I1" s="60" t="str">
        <x:v>首帧/连续性</x:v>
      </x:c>
      <x:c r="J1" s="60" t="str">
        <x:v>尾帧目标</x:v>
      </x:c>
      <x:c r="K1" s="60" t="str">
        <x:v>旧素材/母版</x:v>
      </x:c>
      <x:c r="L1" s="60" t="str">
        <x:v>优先级</x:v>
      </x:c>
      <x:c r="M1" s="61" t="str">
        <x:v>状态</x:v>
      </x:c>
    </x:row>
    <x:row r="2">
      <x:c r="A2" s="39" t="str">
        <x:v>PUB01A</x:v>
      </x:c>
      <x:c r="B2" s="25" t="str">
        <x:v>P01</x:v>
      </x:c>
      <x:c r="C2" s="25" t="str">
        <x:v>公共</x:v>
      </x:c>
      <x:c r="D2" s="25" t="str">
        <x:v>旧素材候选</x:v>
      </x:c>
      <x:c r="E2" s="25" t="str">
        <x:v>R2</x:v>
      </x:c>
      <x:c r="F2" s="25" t="str">
        <x:v>8–10s</x:v>
      </x:c>
      <x:c r="G2" s="25" t="str">
        <x:v>沈岚带矿石进入/放上桌面</x:v>
      </x:c>
      <x:c r="H2" s="25" t="str">
        <x:v>“队长，找到了。这个点的情况，比之前看到的都好。”</x:v>
      </x:c>
      <x:c r="I2" s="25" t="str">
        <x:v>承接现有帐篷人物/暖黄内景</x:v>
      </x:c>
      <x:c r="J2" s="25" t="str">
        <x:v>尾帧矿石与地图同框</x:v>
      </x:c>
      <x:c r="K2" s="25" t="str">
        <x:v>现有开场素材候选</x:v>
      </x:c>
      <x:c r="L2" s="25" t="str">
        <x:v>高</x:v>
      </x:c>
      <x:c r="M2" s="40" t="str">
        <x:v>需视觉验收</x:v>
      </x:c>
    </x:row>
    <x:row r="3">
      <x:c r="A3" s="39" t="str">
        <x:v>PUB01B</x:v>
      </x:c>
      <x:c r="B3" s="25" t="str">
        <x:v>P01</x:v>
      </x:c>
      <x:c r="C3" s="25" t="str">
        <x:v>公共</x:v>
      </x:c>
      <x:c r="D3" s="25" t="str">
        <x:v>旧素材候选</x:v>
      </x:c>
      <x:c r="E3" s="25" t="str">
        <x:v>R2</x:v>
      </x:c>
      <x:c r="F3" s="25" t="str">
        <x:v>6–8s</x:v>
      </x:c>
      <x:c r="G3" s="25" t="str">
        <x:v>矿石、地图、勘探记录、绷带左手建立</x:v>
      </x:c>
      <x:c r="H3" s="25" t="str">
        <x:v>无或极短环境声</x:v>
      </x:c>
      <x:c r="I3" s="25" t="str">
        <x:v>同一桌面/第一人称</x:v>
      </x:c>
      <x:c r="J3" s="25" t="str">
        <x:v>尾帧可承接期权文件入画</x:v>
      </x:c>
      <x:c r="K3" s="25" t="str">
        <x:v>现有开场素材候选</x:v>
      </x:c>
      <x:c r="L3" s="25" t="str">
        <x:v>中</x:v>
      </x:c>
      <x:c r="M3" s="40" t="str">
        <x:v>需视觉验收</x:v>
      </x:c>
    </x:row>
    <x:row r="4">
      <x:c r="A4" s="39" t="str">
        <x:v>PUB02A</x:v>
      </x:c>
      <x:c r="B4" s="25" t="str">
        <x:v>P02</x:v>
      </x:c>
      <x:c r="C4" s="25" t="str">
        <x:v>公共</x:v>
      </x:c>
      <x:c r="D4" s="25" t="str">
        <x:v>新/重做</x:v>
      </x:c>
      <x:c r="E4" s="25" t="str">
        <x:v>R3</x:v>
      </x:c>
      <x:c r="F4" s="25" t="str">
        <x:v>8–12s</x:v>
      </x:c>
      <x:c r="G4" s="25" t="str">
        <x:v>沈岚推期权文件，说明地还不是我们的、只剩14天</x:v>
      </x:c>
      <x:c r="H4" s="25" t="str">
        <x:v>FINAL P02第一句</x:v>
      </x:c>
      <x:c r="I4" s="25" t="str">
        <x:v>承接PUB01B桌面</x:v>
      </x:c>
      <x:c r="J4" s="25" t="str">
        <x:v>尾帧文件/沈岚脸</x:v>
      </x:c>
      <x:c r="K4" s="25" t="str">
        <x:v>旧E01期限镜头视觉可参考</x:v>
      </x:c>
      <x:c r="L4" s="25" t="str">
        <x:v>最高</x:v>
      </x:c>
      <x:c r="M4" s="40" t="str">
        <x:v>待生成</x:v>
      </x:c>
    </x:row>
    <x:row r="5">
      <x:c r="A5" s="39" t="str">
        <x:v>PUB02B</x:v>
      </x:c>
      <x:c r="B5" s="25" t="str">
        <x:v>P02</x:v>
      </x:c>
      <x:c r="C5" s="25" t="str">
        <x:v>公共</x:v>
      </x:c>
      <x:c r="D5" s="25" t="str">
        <x:v>新生成</x:v>
      </x:c>
      <x:c r="E5" s="25" t="str">
        <x:v>R3</x:v>
      </x:c>
      <x:c r="F5" s="25" t="str">
        <x:v>8–12s</x:v>
      </x:c>
      <x:c r="G5" s="25" t="str">
        <x:v>说明本人必须到场确认、队友/远程不能替代；超期后机会风险</x:v>
      </x:c>
      <x:c r="H5" s="25" t="str">
        <x:v>FINAL本人到场+超期风险对白</x:v>
      </x:c>
      <x:c r="I5" s="25" t="str">
        <x:v>同场人物不瞬移</x:v>
      </x:c>
      <x:c r="J5" s="25" t="str">
        <x:v>尾帧看向地图/老周</x:v>
      </x:c>
      <x:c r="K5" s="25" t="str">
        <x:v>无</x:v>
      </x:c>
      <x:c r="L5" s="25" t="str">
        <x:v>最高</x:v>
      </x:c>
      <x:c r="M5" s="40" t="str">
        <x:v>待生成</x:v>
      </x:c>
    </x:row>
    <x:row r="6">
      <x:c r="A6" s="39" t="str">
        <x:v>PUB03A</x:v>
      </x:c>
      <x:c r="B6" s="25" t="str">
        <x:v>P03</x:v>
      </x:c>
      <x:c r="C6" s="25" t="str">
        <x:v>公共</x:v>
      </x:c>
      <x:c r="D6" s="25" t="str">
        <x:v>现有复用候选</x:v>
      </x:c>
      <x:c r="E6" s="25" t="str">
        <x:v>R0/R2</x:v>
      </x:c>
      <x:c r="F6" s="25" t="str">
        <x:v>10–12s</x:v>
      </x:c>
      <x:c r="G6" s="25" t="str">
        <x:v>老周在地图上依次指山路/谷地</x:v>
      </x:c>
      <x:c r="H6" s="25" t="str">
        <x:v>“翻山七到十天……谷地两到三周……”</x:v>
      </x:c>
      <x:c r="I6" s="25" t="str">
        <x:v>承接P02</x:v>
      </x:c>
      <x:c r="J6" s="25" t="str">
        <x:v>尾帧手指/指南针在地图</x:v>
      </x:c>
      <x:c r="K6" s="25" t="str">
        <x:v>E02-S01</x:v>
      </x:c>
      <x:c r="L6" s="25" t="str">
        <x:v>高</x:v>
      </x:c>
      <x:c r="M6" s="40" t="str">
        <x:v>核对对白后决定</x:v>
      </x:c>
    </x:row>
    <x:row r="7">
      <x:c r="A7" s="39" t="str">
        <x:v>PUB04A</x:v>
      </x:c>
      <x:c r="B7" s="25" t="str">
        <x:v>P04</x:v>
      </x:c>
      <x:c r="C7" s="25" t="str">
        <x:v>公共</x:v>
      </x:c>
      <x:c r="D7" s="25" t="str">
        <x:v>部分重做</x:v>
      </x:c>
      <x:c r="E7" s="25" t="str">
        <x:v>R2/R3</x:v>
      </x:c>
      <x:c r="F7" s="25" t="str">
        <x:v>8–10s</x:v>
      </x:c>
      <x:c r="G7" s="25" t="str">
        <x:v>从地图抬到帐外天气，说明48小时后确认是否有暴风</x:v>
      </x:c>
      <x:c r="H7" s="25" t="str">
        <x:v>FINAL第一层天气信息</x:v>
      </x:c>
      <x:c r="I7" s="25" t="str">
        <x:v>承接PUB03A</x:v>
      </x:c>
      <x:c r="J7" s="25" t="str">
        <x:v>尾帧老周/门外云层</x:v>
      </x:c>
      <x:c r="K7" s="25" t="str">
        <x:v>E02-S02动作参考</x:v>
      </x:c>
      <x:c r="L7" s="25" t="str">
        <x:v>最高</x:v>
      </x:c>
      <x:c r="M7" s="40" t="str">
        <x:v>待生成/改造</x:v>
      </x:c>
    </x:row>
    <x:row r="8">
      <x:c r="A8" s="39" t="str">
        <x:v>PUB04B</x:v>
      </x:c>
      <x:c r="B8" s="25" t="str">
        <x:v>P04</x:v>
      </x:c>
      <x:c r="C8" s="25" t="str">
        <x:v>公共</x:v>
      </x:c>
      <x:c r="D8" s="25" t="str">
        <x:v>新增补片</x:v>
      </x:c>
      <x:c r="E8" s="25" t="str">
        <x:v>R3</x:v>
      </x:c>
      <x:c r="F8" s="25" t="str">
        <x:v>6–8s</x:v>
      </x:c>
      <x:c r="G8" s="25" t="str">
        <x:v>沈岚补充：若有暴风，再约一天判断山路是否可通</x:v>
      </x:c>
      <x:c r="H8" s="25" t="str">
        <x:v>FINAL第二层天气信息</x:v>
      </x:c>
      <x:c r="I8" s="25" t="str">
        <x:v>同一帐篷/天气</x:v>
      </x:c>
      <x:c r="J8" s="25" t="str">
        <x:v>尾帧人物视线落到左手</x:v>
      </x:c>
      <x:c r="K8" s="25" t="str">
        <x:v>无</x:v>
      </x:c>
      <x:c r="L8" s="25" t="str">
        <x:v>最高</x:v>
      </x:c>
      <x:c r="M8" s="40" t="str">
        <x:v>待生成</x:v>
      </x:c>
    </x:row>
    <x:row r="9">
      <x:c r="A9" s="39" t="str">
        <x:v>PUB05A</x:v>
      </x:c>
      <x:c r="B9" s="25" t="str">
        <x:v>P05</x:v>
      </x:c>
      <x:c r="C9" s="25" t="str">
        <x:v>公共</x:v>
      </x:c>
      <x:c r="D9" s="25" t="str">
        <x:v>对白重做</x:v>
      </x:c>
      <x:c r="E9" s="25" t="str">
        <x:v>R2/R3</x:v>
      </x:c>
      <x:c r="F9" s="25" t="str">
        <x:v>8–10s</x:v>
      </x:c>
      <x:c r="G9" s="25" t="str">
        <x:v>阿杰检查左手，客观说明偶发失力不可控</x:v>
      </x:c>
      <x:c r="H9" s="25" t="str">
        <x:v>FINAL P05对白</x:v>
      </x:c>
      <x:c r="I9" s="25" t="str">
        <x:v>承接PUB04B视线</x:v>
      </x:c>
      <x:c r="J9" s="25" t="str">
        <x:v>尾帧阿杰抬头/三人关系</x:v>
      </x:c>
      <x:c r="K9" s="25" t="str">
        <x:v>E02-S03画面参考</x:v>
      </x:c>
      <x:c r="L9" s="25" t="str">
        <x:v>高</x:v>
      </x:c>
      <x:c r="M9" s="40" t="str">
        <x:v>待生成/改造</x:v>
      </x:c>
    </x:row>
    <x:row r="10">
      <x:c r="A10" s="39" t="str">
        <x:v>PUB06A</x:v>
      </x:c>
      <x:c r="B10" s="25" t="str">
        <x:v>P06</x:v>
      </x:c>
      <x:c r="C10" s="25" t="str">
        <x:v>公共</x:v>
      </x:c>
      <x:c r="D10" s="25" t="str">
        <x:v>直接复用</x:v>
      </x:c>
      <x:c r="E10" s="25" t="str">
        <x:v>R0</x:v>
      </x:c>
      <x:c r="F10" s="25" t="str">
        <x:v>6–8s</x:v>
      </x:c>
      <x:c r="G10" s="25" t="str">
        <x:v>阿杰退开、镜头抬起、三人等队长决定</x:v>
      </x:c>
      <x:c r="H10" s="25" t="str">
        <x:v>“队长，决定吧。”</x:v>
      </x:c>
      <x:c r="I10" s="25" t="str">
        <x:v>承接PUB05A</x:v>
      </x:c>
      <x:c r="J10" s="25" t="str">
        <x:v>静止1秒方便Web叠按钮</x:v>
      </x:c>
      <x:c r="K10" s="25" t="str">
        <x:v>E02-S04</x:v>
      </x:c>
      <x:c r="L10" s="25" t="str">
        <x:v>最高</x:v>
      </x:c>
      <x:c r="M10" s="40" t="str">
        <x:v>优先复用</x:v>
      </x:c>
    </x:row>
    <x:row r="11">
      <x:c r="A11" s="39" t="str">
        <x:v>A01A</x:v>
      </x:c>
      <x:c r="B11" s="25" t="str">
        <x:v>A01</x:v>
      </x:c>
      <x:c r="C11" s="25" t="str">
        <x:v>A</x:v>
      </x:c>
      <x:c r="D11" s="25" t="str">
        <x:v>新生成</x:v>
      </x:c>
      <x:c r="E11" s="25" t="str">
        <x:v>R3</x:v>
      </x:c>
      <x:c r="F11" s="25" t="str">
        <x:v>8–10s</x:v>
      </x:c>
      <x:c r="G11" s="25" t="str">
        <x:v>Day0-2山路快速推进/山脊逐渐靠近</x:v>
      </x:c>
      <x:c r="H11" s="25" t="str">
        <x:v>环境声为主</x:v>
      </x:c>
      <x:c r="I11" s="25" t="str">
        <x:v>低风险早期山路状态</x:v>
      </x:c>
      <x:c r="J11" s="25" t="str">
        <x:v>尾帧队伍停下看前路</x:v>
      </x:c>
      <x:c r="K11" s="25" t="str">
        <x:v>山地视觉参考</x:v>
      </x:c>
      <x:c r="L11" s="25" t="str">
        <x:v>中</x:v>
      </x:c>
      <x:c r="M11" s="40" t="str">
        <x:v>待生成</x:v>
      </x:c>
    </x:row>
    <x:row r="12">
      <x:c r="A12" s="39" t="str">
        <x:v>A01B</x:v>
      </x:c>
      <x:c r="B12" s="25" t="str">
        <x:v>A01</x:v>
      </x:c>
      <x:c r="C12" s="25" t="str">
        <x:v>A</x:v>
      </x:c>
      <x:c r="D12" s="25" t="str">
        <x:v>新生成</x:v>
      </x:c>
      <x:c r="E12" s="25" t="str">
        <x:v>R3</x:v>
      </x:c>
      <x:c r="F12" s="25" t="str">
        <x:v>6–8s</x:v>
      </x:c>
      <x:c r="G12" s="25" t="str">
        <x:v>沈岚看进度，给出“还有余量”正反馈</x:v>
      </x:c>
      <x:c r="H12" s="25" t="str">
        <x:v>FINAL A01对白</x:v>
      </x:c>
      <x:c r="I12" s="25" t="str">
        <x:v>承接A01A</x:v>
      </x:c>
      <x:c r="J12" s="25" t="str">
        <x:v>尾帧前方山脊</x:v>
      </x:c>
      <x:c r="K12" s="25" t="str">
        <x:v>无</x:v>
      </x:c>
      <x:c r="L12" s="25" t="str">
        <x:v>中</x:v>
      </x:c>
      <x:c r="M12" s="40" t="str">
        <x:v>待生成</x:v>
      </x:c>
    </x:row>
    <x:row r="13">
      <x:c r="A13" s="39" t="str">
        <x:v>A02A</x:v>
      </x:c>
      <x:c r="B13" s="25" t="str">
        <x:v>A02</x:v>
      </x:c>
      <x:c r="C13" s="25" t="str">
        <x:v>A</x:v>
      </x:c>
      <x:c r="D13" s="25" t="str">
        <x:v>新生成</x:v>
      </x:c>
      <x:c r="E13" s="25" t="str">
        <x:v>R3</x:v>
      </x:c>
      <x:c r="F13" s="25" t="str">
        <x:v>7–9s</x:v>
      </x:c>
      <x:c r="G13" s="25" t="str">
        <x:v>高地风雪明显增强，山口仍可见</x:v>
      </x:c>
      <x:c r="H13" s="25" t="str">
        <x:v>风声/无长对白</x:v>
      </x:c>
      <x:c r="I13" s="25" t="str">
        <x:v>承接A01山地连续性</x:v>
      </x:c>
      <x:c r="J13" s="25" t="str">
        <x:v>尾帧玩家准备借力</x:v>
      </x:c>
      <x:c r="K13" s="25" t="str">
        <x:v>旧A0关键帧可参考</x:v>
      </x:c>
      <x:c r="L13" s="25" t="str">
        <x:v>最高</x:v>
      </x:c>
      <x:c r="M13" s="40" t="str">
        <x:v>待生成</x:v>
      </x:c>
    </x:row>
    <x:row r="14">
      <x:c r="A14" s="39" t="str">
        <x:v>A02B</x:v>
      </x:c>
      <x:c r="B14" s="25" t="str">
        <x:v>A02</x:v>
      </x:c>
      <x:c r="C14" s="25" t="str">
        <x:v>A</x:v>
      </x:c>
      <x:c r="D14" s="25" t="str">
        <x:v>新生成</x:v>
      </x:c>
      <x:c r="E14" s="25" t="str">
        <x:v>R3</x:v>
      </x:c>
      <x:c r="F14" s="25" t="str">
        <x:v>8–10s</x:v>
      </x:c>
      <x:c r="G14" s="25" t="str">
        <x:v>左手突然失力，老周拉稳，阿杰上前</x:v>
      </x:c>
      <x:c r="H14" s="25" t="str">
        <x:v>阿杰：“刚才不是疼，是没力……”</x:v>
      </x:c>
      <x:c r="I14" s="25" t="str">
        <x:v>承接A02A</x:v>
      </x:c>
      <x:c r="J14" s="25" t="str">
        <x:v>尾帧阿杰检查手</x:v>
      </x:c>
      <x:c r="K14" s="25" t="str">
        <x:v>旧A0动作可参考</x:v>
      </x:c>
      <x:c r="L14" s="25" t="str">
        <x:v>最高</x:v>
      </x:c>
      <x:c r="M14" s="40" t="str">
        <x:v>待生成</x:v>
      </x:c>
    </x:row>
    <x:row r="15">
      <x:c r="A15" s="39" t="str">
        <x:v>A02C</x:v>
      </x:c>
      <x:c r="B15" s="25" t="str">
        <x:v>A02</x:v>
      </x:c>
      <x:c r="C15" s="25" t="str">
        <x:v>A</x:v>
      </x:c>
      <x:c r="D15" s="25" t="str">
        <x:v>新生成</x:v>
      </x:c>
      <x:c r="E15" s="25" t="str">
        <x:v>R3</x:v>
      </x:c>
      <x:c r="F15" s="25" t="str">
        <x:v>10–12s</x:v>
      </x:c>
      <x:c r="G15" s="25" t="str">
        <x:v>老周指可走前路和背风岩壁；沈岚说明回头三天拿不回</x:v>
      </x:c>
      <x:c r="H15" s="25" t="str">
        <x:v>老周+沈岚FINAL对白</x:v>
      </x:c>
      <x:c r="I15" s="25" t="str">
        <x:v>人物/地貌位置固定</x:v>
      </x:c>
      <x:c r="J15" s="25" t="str">
        <x:v>尾帧三种行动事实都在构图中</x:v>
      </x:c>
      <x:c r="K15" s="25" t="str">
        <x:v>无</x:v>
      </x:c>
      <x:c r="L15" s="25" t="str">
        <x:v>最高</x:v>
      </x:c>
      <x:c r="M15" s="40" t="str">
        <x:v>待生成</x:v>
      </x:c>
    </x:row>
    <x:row r="16">
      <x:c r="A16" s="39" t="str">
        <x:v>A2FB-C1</x:v>
      </x:c>
      <x:c r="B16" s="25" t="str">
        <x:v>A02</x:v>
      </x:c>
      <x:c r="C16" s="25" t="str">
        <x:v>A</x:v>
      </x:c>
      <x:c r="D16" s="25" t="str">
        <x:v>分支反馈</x:v>
      </x:c>
      <x:c r="E16" s="25" t="str">
        <x:v>R3</x:v>
      </x:c>
      <x:c r="F16" s="25" t="str">
        <x:v>6–8s</x:v>
      </x:c>
      <x:c r="G16" s="25" t="str">
        <x:v>选择继续：重新收紧背带/分工，继续向上</x:v>
      </x:c>
      <x:c r="H16" s="25" t="str">
        <x:v>“我走前面。左手别再硬撑。”</x:v>
      </x:c>
      <x:c r="I16" s="25" t="str">
        <x:v>A02真实尾帧起</x:v>
      </x:c>
      <x:c r="J16" s="25" t="str">
        <x:v>尾帧队伍继续前进</x:v>
      </x:c>
      <x:c r="K16" s="25" t="str">
        <x:v>无</x:v>
      </x:c>
      <x:c r="L16" s="25" t="str">
        <x:v>高</x:v>
      </x:c>
      <x:c r="M16" s="40" t="str">
        <x:v>待生成</x:v>
      </x:c>
    </x:row>
    <x:row r="17">
      <x:c r="A17" s="39" t="str">
        <x:v>A2FB-S1</x:v>
      </x:c>
      <x:c r="B17" s="25" t="str">
        <x:v>A03B</x:v>
      </x:c>
      <x:c r="C17" s="25" t="str">
        <x:v>A</x:v>
      </x:c>
      <x:c r="D17" s="25" t="str">
        <x:v>分支反馈</x:v>
      </x:c>
      <x:c r="E17" s="25" t="str">
        <x:v>R3</x:v>
      </x:c>
      <x:c r="F17" s="25" t="str">
        <x:v>7–9s</x:v>
      </x:c>
      <x:c r="G17" s="25" t="str">
        <x:v>选择暂避：队伍转入背风岩壁</x:v>
      </x:c>
      <x:c r="H17" s="25" t="str">
        <x:v>“右边，先进背风处。”</x:v>
      </x:c>
      <x:c r="I17" s="25" t="str">
        <x:v>A02真实尾帧起</x:v>
      </x:c>
      <x:c r="J17" s="25" t="str">
        <x:v>尾帧进入避风区</x:v>
      </x:c>
      <x:c r="K17" s="25" t="str">
        <x:v>无</x:v>
      </x:c>
      <x:c r="L17" s="25" t="str">
        <x:v>高</x:v>
      </x:c>
      <x:c r="M17" s="40" t="str">
        <x:v>待生成</x:v>
      </x:c>
    </x:row>
    <x:row r="18">
      <x:c r="A18" s="39" t="str">
        <x:v>A2FB-S2</x:v>
      </x:c>
      <x:c r="B18" s="25" t="str">
        <x:v>A03B</x:v>
      </x:c>
      <x:c r="C18" s="25" t="str">
        <x:v>A</x:v>
      </x:c>
      <x:c r="D18" s="25" t="str">
        <x:v>时间经过</x:v>
      </x:c>
      <x:c r="E18" s="25" t="str">
        <x:v>R3</x:v>
      </x:c>
      <x:c r="F18" s="25" t="str">
        <x:v>8–10s</x:v>
      </x:c>
      <x:c r="G18" s="25" t="str">
        <x:v>背风处外风雪最强→环境变化表现约两天</x:v>
      </x:c>
      <x:c r="H18" s="25" t="str">
        <x:v>无长对白</x:v>
      </x:c>
      <x:c r="I18" s="25" t="str">
        <x:v>承接A2FB-S1</x:v>
      </x:c>
      <x:c r="J18" s="25" t="str">
        <x:v>尾帧风势开始减弱</x:v>
      </x:c>
      <x:c r="K18" s="25" t="str">
        <x:v>无</x:v>
      </x:c>
      <x:c r="L18" s="25" t="str">
        <x:v>中</x:v>
      </x:c>
      <x:c r="M18" s="40" t="str">
        <x:v>待生成</x:v>
      </x:c>
    </x:row>
    <x:row r="19">
      <x:c r="A19" s="39" t="str">
        <x:v>A2FB-R1</x:v>
      </x:c>
      <x:c r="B19" s="25" t="str">
        <x:v>A03R</x:v>
      </x:c>
      <x:c r="C19" s="25" t="str">
        <x:v>A</x:v>
      </x:c>
      <x:c r="D19" s="25" t="str">
        <x:v>分支反馈</x:v>
      </x:c>
      <x:c r="E19" s="25" t="str">
        <x:v>R3</x:v>
      </x:c>
      <x:c r="F19" s="25" t="str">
        <x:v>8–10s</x:v>
      </x:c>
      <x:c r="G19" s="25" t="str">
        <x:v>选择撤回：老周转身下撤，沈岚重新打开地图</x:v>
      </x:c>
      <x:c r="H19" s="25" t="str">
        <x:v>“我从现在开始按谷地重算。”</x:v>
      </x:c>
      <x:c r="I19" s="25" t="str">
        <x:v>A02/A04尾帧分支起</x:v>
      </x:c>
      <x:c r="J19" s="25" t="str">
        <x:v>尾帧向低处撤离</x:v>
      </x:c>
      <x:c r="K19" s="25" t="str">
        <x:v>无</x:v>
      </x:c>
      <x:c r="L19" s="25" t="str">
        <x:v>中</x:v>
      </x:c>
      <x:c r="M19" s="40" t="str">
        <x:v>待生成</x:v>
      </x:c>
    </x:row>
    <x:row r="20">
      <x:c r="A20" s="39" t="str">
        <x:v>A03A1</x:v>
      </x:c>
      <x:c r="B20" s="25" t="str">
        <x:v>A03A</x:v>
      </x:c>
      <x:c r="C20" s="25" t="str">
        <x:v>A</x:v>
      </x:c>
      <x:c r="D20" s="25" t="str">
        <x:v>新生成</x:v>
      </x:c>
      <x:c r="E20" s="25" t="str">
        <x:v>R3</x:v>
      </x:c>
      <x:c r="F20" s="25" t="str">
        <x:v>8–10s</x:v>
      </x:c>
      <x:c r="G20" s="25" t="str">
        <x:v>阿杰再检查手，明确按“不可靠”处理</x:v>
      </x:c>
      <x:c r="H20" s="25" t="str">
        <x:v>FINAL A03A对白</x:v>
      </x:c>
      <x:c r="I20" s="25" t="str">
        <x:v>承接继续推进后的山路</x:v>
      </x:c>
      <x:c r="J20" s="25" t="str">
        <x:v>尾帧团队开始调整</x:v>
      </x:c>
      <x:c r="K20" s="25" t="str">
        <x:v>无</x:v>
      </x:c>
      <x:c r="L20" s="25" t="str">
        <x:v>高</x:v>
      </x:c>
      <x:c r="M20" s="40" t="str">
        <x:v>待生成</x:v>
      </x:c>
    </x:row>
    <x:row r="21">
      <x:c r="A21" s="39" t="str">
        <x:v>A03A2</x:v>
      </x:c>
      <x:c r="B21" s="25" t="str">
        <x:v>A03A</x:v>
      </x:c>
      <x:c r="C21" s="25" t="str">
        <x:v>A</x:v>
      </x:c>
      <x:c r="D21" s="25" t="str">
        <x:v>新生成</x:v>
      </x:c>
      <x:c r="E21" s="25" t="str">
        <x:v>R3</x:v>
      </x:c>
      <x:c r="F21" s="25" t="str">
        <x:v>8–10s</x:v>
      </x:c>
      <x:c r="G21" s="25" t="str">
        <x:v>老周/沈岚分担动作与负重，继续走</x:v>
      </x:c>
      <x:c r="H21" s="25" t="str">
        <x:v>沈岚：“时间还在我们这边……”</x:v>
      </x:c>
      <x:c r="I21" s="25" t="str">
        <x:v>同一人员服装/伤手状态</x:v>
      </x:c>
      <x:c r="J21" s="25" t="str">
        <x:v>尾帧进入山路后段</x:v>
      </x:c>
      <x:c r="K21" s="25" t="str">
        <x:v>无</x:v>
      </x:c>
      <x:c r="L21" s="25" t="str">
        <x:v>高</x:v>
      </x:c>
      <x:c r="M21" s="40" t="str">
        <x:v>待生成</x:v>
      </x:c>
    </x:row>
    <x:row r="22">
      <x:c r="A22" s="39" t="str">
        <x:v>A03B1</x:v>
      </x:c>
      <x:c r="B22" s="25" t="str">
        <x:v>A03B</x:v>
      </x:c>
      <x:c r="C22" s="25" t="str">
        <x:v>A</x:v>
      </x:c>
      <x:c r="D22" s="25" t="str">
        <x:v>新生成</x:v>
      </x:c>
      <x:c r="E22" s="25" t="str">
        <x:v>R3</x:v>
      </x:c>
      <x:c r="F22" s="25" t="str">
        <x:v>7–9s</x:v>
      </x:c>
      <x:c r="G22" s="25" t="str">
        <x:v>风势过去，队伍离开背风处重新出发</x:v>
      </x:c>
      <x:c r="H22" s="25" t="str">
        <x:v>环境+阿杰短句</x:v>
      </x:c>
      <x:c r="I22" s="25" t="str">
        <x:v>承接A2FB-S2</x:v>
      </x:c>
      <x:c r="J22" s="25" t="str">
        <x:v>尾帧玩家手部较稳</x:v>
      </x:c>
      <x:c r="K22" s="25" t="str">
        <x:v>无</x:v>
      </x:c>
      <x:c r="L22" s="25" t="str">
        <x:v>高</x:v>
      </x:c>
      <x:c r="M22" s="40" t="str">
        <x:v>待生成</x:v>
      </x:c>
    </x:row>
    <x:row r="23">
      <x:c r="A23" s="39" t="str">
        <x:v>A03B2</x:v>
      </x:c>
      <x:c r="B23" s="25" t="str">
        <x:v>A03B</x:v>
      </x:c>
      <x:c r="C23" s="25" t="str">
        <x:v>A</x:v>
      </x:c>
      <x:c r="D23" s="25" t="str">
        <x:v>新生成</x:v>
      </x:c>
      <x:c r="E23" s="25" t="str">
        <x:v>R3</x:v>
      </x:c>
      <x:c r="F23" s="25" t="str">
        <x:v>7–9s</x:v>
      </x:c>
      <x:c r="G23" s="25" t="str">
        <x:v>阿杰说手稳多了；沈岚说宽裕也花掉了</x:v>
      </x:c>
      <x:c r="H23" s="25" t="str">
        <x:v>FINAL A03B对白</x:v>
      </x:c>
      <x:c r="I23" s="25" t="str">
        <x:v>承接A03B1</x:v>
      </x:c>
      <x:c r="J23" s="25" t="str">
        <x:v>尾帧山路后段</x:v>
      </x:c>
      <x:c r="K23" s="25" t="str">
        <x:v>无</x:v>
      </x:c>
      <x:c r="L23" s="25" t="str">
        <x:v>高</x:v>
      </x:c>
      <x:c r="M23" s="40" t="str">
        <x:v>待生成</x:v>
      </x:c>
    </x:row>
    <x:row r="24">
      <x:c r="A24" s="39" t="str">
        <x:v>A04V-A</x:v>
      </x:c>
      <x:c r="B24" s="25" t="str">
        <x:v>A04</x:v>
      </x:c>
      <x:c r="C24" s="25" t="str">
        <x:v>A</x:v>
      </x:c>
      <x:c r="D24" s="25" t="str">
        <x:v>前情变体</x:v>
      </x:c>
      <x:c r="E24" s="25" t="str">
        <x:v>R1</x:v>
      </x:c>
      <x:c r="F24" s="25" t="str">
        <x:v>7–9s</x:v>
      </x:c>
      <x:c r="G24" s="25" t="str">
        <x:v>继续前情：手仍不稳、时间还有余量</x:v>
      </x:c>
      <x:c r="H24" s="25" t="str">
        <x:v>阿杰+沈岚A03A进入A04对白</x:v>
      </x:c>
      <x:c r="I24" s="25" t="str">
        <x:v>共享A04地貌母版</x:v>
      </x:c>
      <x:c r="J24" s="25" t="str">
        <x:v>尾帧看向前后路线</x:v>
      </x:c>
      <x:c r="K24" s="25" t="str">
        <x:v>A04C母版</x:v>
      </x:c>
      <x:c r="L24" s="25" t="str">
        <x:v>高</x:v>
      </x:c>
      <x:c r="M24" s="40" t="str">
        <x:v>待生成</x:v>
      </x:c>
    </x:row>
    <x:row r="25">
      <x:c r="A25" s="39" t="str">
        <x:v>A04V-B</x:v>
      </x:c>
      <x:c r="B25" s="25" t="str">
        <x:v>A04</x:v>
      </x:c>
      <x:c r="C25" s="25" t="str">
        <x:v>A</x:v>
      </x:c>
      <x:c r="D25" s="25" t="str">
        <x:v>前情变体</x:v>
      </x:c>
      <x:c r="E25" s="25" t="str">
        <x:v>R1</x:v>
      </x:c>
      <x:c r="F25" s="25" t="str">
        <x:v>7–9s</x:v>
      </x:c>
      <x:c r="G25" s="25" t="str">
        <x:v>暂避前情：手稳、时间更紧</x:v>
      </x:c>
      <x:c r="H25" s="25" t="str">
        <x:v>阿杰+沈岚A03B进入A04对白</x:v>
      </x:c>
      <x:c r="I25" s="25" t="str">
        <x:v>共享A04地貌母版</x:v>
      </x:c>
      <x:c r="J25" s="25" t="str">
        <x:v>尾帧看向前后路线</x:v>
      </x:c>
      <x:c r="K25" s="25" t="str">
        <x:v>A04C母版</x:v>
      </x:c>
      <x:c r="L25" s="25" t="str">
        <x:v>高</x:v>
      </x:c>
      <x:c r="M25" s="40" t="str">
        <x:v>待生成</x:v>
      </x:c>
    </x:row>
    <x:row r="26">
      <x:c r="A26" s="39" t="str">
        <x:v>A04C</x:v>
      </x:c>
      <x:c r="B26" s="25" t="str">
        <x:v>A04</x:v>
      </x:c>
      <x:c r="C26" s="25" t="str">
        <x:v>A</x:v>
      </x:c>
      <x:c r="D26" s="25" t="str">
        <x:v>公共母版</x:v>
      </x:c>
      <x:c r="E26" s="25" t="str">
        <x:v>R1</x:v>
      </x:c>
      <x:c r="F26" s="25" t="str">
        <x:v>8–10s</x:v>
      </x:c>
      <x:c r="G26" s="25" t="str">
        <x:v>老周说明过前段后回头更折腾，现在还能退但不是第一天那笔账</x:v>
      </x:c>
      <x:c r="H26" s="25" t="str">
        <x:v>FINAL A04公共对白</x:v>
      </x:c>
      <x:c r="I26" s="25" t="str">
        <x:v>由A04V-A/B接入</x:v>
      </x:c>
      <x:c r="J26" s="25" t="str">
        <x:v>静止尾帧方便Web三选项</x:v>
      </x:c>
      <x:c r="K26" s="25" t="str">
        <x:v>山路后段母版</x:v>
      </x:c>
      <x:c r="L26" s="25" t="str">
        <x:v>最高</x:v>
      </x:c>
      <x:c r="M26" s="40" t="str">
        <x:v>待生成</x:v>
      </x:c>
    </x:row>
    <x:row r="27">
      <x:c r="A27" s="39" t="str">
        <x:v>A4FB-1</x:v>
      </x:c>
      <x:c r="B27" s="25" t="str">
        <x:v>A04</x:v>
      </x:c>
      <x:c r="C27" s="25" t="str">
        <x:v>A</x:v>
      </x:c>
      <x:c r="D27" s="25" t="str">
        <x:v>分支反馈</x:v>
      </x:c>
      <x:c r="E27" s="25" t="str">
        <x:v>R3</x:v>
      </x:c>
      <x:c r="F27" s="25" t="str">
        <x:v>5–7s</x:v>
      </x:c>
      <x:c r="G27" s="25" t="str">
        <x:v>继续当前节奏：老周确认不改线，队伍继续</x:v>
      </x:c>
      <x:c r="H27" s="25" t="str">
        <x:v>“那就不改线。按现在走。”</x:v>
      </x:c>
      <x:c r="I27" s="25" t="str">
        <x:v>A04C尾帧起</x:v>
      </x:c>
      <x:c r="J27" s="25" t="str">
        <x:v>接X01行程蒙太奇/结算</x:v>
      </x:c>
      <x:c r="K27" s="25" t="str">
        <x:v>无</x:v>
      </x:c>
      <x:c r="L27" s="25" t="str">
        <x:v>中</x:v>
      </x:c>
      <x:c r="M27" s="40" t="str">
        <x:v>待生成</x:v>
      </x:c>
    </x:row>
    <x:row r="28">
      <x:c r="A28" s="39" t="str">
        <x:v>A4FB-2</x:v>
      </x:c>
      <x:c r="B28" s="25" t="str">
        <x:v>A04</x:v>
      </x:c>
      <x:c r="C28" s="25" t="str">
        <x:v>A</x:v>
      </x:c>
      <x:c r="D28" s="25" t="str">
        <x:v>分支反馈</x:v>
      </x:c>
      <x:c r="E28" s="25" t="str">
        <x:v>R3</x:v>
      </x:c>
      <x:c r="F28" s="25" t="str">
        <x:v>5–7s</x:v>
      </x:c>
      <x:c r="G28" s="25" t="str">
        <x:v>主动降速：阿杰重新分负重/节奏</x:v>
      </x:c>
      <x:c r="H28" s="25" t="str">
        <x:v>“速度降一点……”</x:v>
      </x:c>
      <x:c r="I28" s="25" t="str">
        <x:v>A04C尾帧起</x:v>
      </x:c>
      <x:c r="J28" s="25" t="str">
        <x:v>接X01</x:v>
      </x:c>
      <x:c r="K28" s="25" t="str">
        <x:v>无</x:v>
      </x:c>
      <x:c r="L28" s="25" t="str">
        <x:v>中</x:v>
      </x:c>
      <x:c r="M28" s="40" t="str">
        <x:v>待生成</x:v>
      </x:c>
    </x:row>
    <x:row r="29">
      <x:c r="A29" s="39" t="str">
        <x:v>A4FB-3</x:v>
      </x:c>
      <x:c r="B29" s="25" t="str">
        <x:v>A04</x:v>
      </x:c>
      <x:c r="C29" s="25" t="str">
        <x:v>A</x:v>
      </x:c>
      <x:c r="D29" s="25" t="str">
        <x:v>分支反馈</x:v>
      </x:c>
      <x:c r="E29" s="25" t="str">
        <x:v>R3</x:v>
      </x:c>
      <x:c r="F29" s="25" t="str">
        <x:v>5–7s</x:v>
      </x:c>
      <x:c r="G29" s="25" t="str">
        <x:v>撤回：老周转身下撤</x:v>
      </x:c>
      <x:c r="H29" s="25" t="str">
        <x:v>“下撤。到了低处，再接谷地。”</x:v>
      </x:c>
      <x:c r="I29" s="25" t="str">
        <x:v>A04C尾帧起</x:v>
      </x:c>
      <x:c r="J29" s="25" t="str">
        <x:v>接SH-VAL-01</x:v>
      </x:c>
      <x:c r="K29" s="25" t="str">
        <x:v>无</x:v>
      </x:c>
      <x:c r="L29" s="25" t="str">
        <x:v>中</x:v>
      </x:c>
      <x:c r="M29" s="40" t="str">
        <x:v>待生成</x:v>
      </x:c>
    </x:row>
    <x:row r="30">
      <x:c r="A30" s="39" t="str">
        <x:v>B01A</x:v>
      </x:c>
      <x:c r="B30" s="25" t="str">
        <x:v>B01</x:v>
      </x:c>
      <x:c r="C30" s="25" t="str">
        <x:v>B</x:v>
      </x:c>
      <x:c r="D30" s="25" t="str">
        <x:v>新生成</x:v>
      </x:c>
      <x:c r="E30" s="25" t="str">
        <x:v>R3</x:v>
      </x:c>
      <x:c r="F30" s="25" t="str">
        <x:v>10–12s</x:v>
      </x:c>
      <x:c r="G30" s="25" t="str">
        <x:v>谷地多日稳定行进蒙太奇：行走/扎营/再出发</x:v>
      </x:c>
      <x:c r="H30" s="25" t="str">
        <x:v>环境声</x:v>
      </x:c>
      <x:c r="I30" s="25" t="str">
        <x:v>保持第一人称/较低高地暴露</x:v>
      </x:c>
      <x:c r="J30" s="25" t="str">
        <x:v>尾帧远处高地暴风</x:v>
      </x:c>
      <x:c r="K30" s="25" t="str">
        <x:v>谷地环境新生成</x:v>
      </x:c>
      <x:c r="L30" s="25" t="str">
        <x:v>中</x:v>
      </x:c>
      <x:c r="M30" s="40" t="str">
        <x:v>待生成</x:v>
      </x:c>
    </x:row>
    <x:row r="31">
      <x:c r="A31" s="39" t="str">
        <x:v>B01B</x:v>
      </x:c>
      <x:c r="B31" s="25" t="str">
        <x:v>B01</x:v>
      </x:c>
      <x:c r="C31" s="25" t="str">
        <x:v>B</x:v>
      </x:c>
      <x:c r="D31" s="25" t="str">
        <x:v>新生成</x:v>
      </x:c>
      <x:c r="E31" s="25" t="str">
        <x:v>R3</x:v>
      </x:c>
      <x:c r="F31" s="25" t="str">
        <x:v>7–9s</x:v>
      </x:c>
      <x:c r="G31" s="25" t="str">
        <x:v>远处暴风、手负担较低；老周“路没问题，就是长”</x:v>
      </x:c>
      <x:c r="H31" s="25" t="str">
        <x:v>FINAL B01对白</x:v>
      </x:c>
      <x:c r="I31" s="25" t="str">
        <x:v>承接B01A</x:v>
      </x:c>
      <x:c r="J31" s="25" t="str">
        <x:v>尾帧长谷地</x:v>
      </x:c>
      <x:c r="K31" s="25" t="str">
        <x:v>无</x:v>
      </x:c>
      <x:c r="L31" s="25" t="str">
        <x:v>中</x:v>
      </x:c>
      <x:c r="M31" s="40" t="str">
        <x:v>待生成</x:v>
      </x:c>
    </x:row>
    <x:row r="32">
      <x:c r="A32" s="39" t="str">
        <x:v>B02A</x:v>
      </x:c>
      <x:c r="B32" s="25" t="str">
        <x:v>B02</x:v>
      </x:c>
      <x:c r="C32" s="25" t="str">
        <x:v>B</x:v>
      </x:c>
      <x:c r="D32" s="25" t="str">
        <x:v>新生成</x:v>
      </x:c>
      <x:c r="E32" s="25" t="str">
        <x:v>R3</x:v>
      </x:c>
      <x:c r="F32" s="25" t="str">
        <x:v>8–10s</x:v>
      </x:c>
      <x:c r="G32" s="25" t="str">
        <x:v>Day6正常休整，沈岚标实际位置；没有出问题、速度也不慢</x:v>
      </x:c>
      <x:c r="H32" s="25" t="str">
        <x:v>FINAL修订对白</x:v>
      </x:c>
      <x:c r="I32" s="25" t="str">
        <x:v>谷地后段视觉连续</x:v>
      </x:c>
      <x:c r="J32" s="25" t="str">
        <x:v>尾帧地图剩余路线</x:v>
      </x:c>
      <x:c r="K32" s="25" t="str">
        <x:v>无</x:v>
      </x:c>
      <x:c r="L32" s="25" t="str">
        <x:v>最高</x:v>
      </x:c>
      <x:c r="M32" s="40" t="str">
        <x:v>待生成</x:v>
      </x:c>
    </x:row>
    <x:row r="33">
      <x:c r="A33" s="39" t="str">
        <x:v>B02B</x:v>
      </x:c>
      <x:c r="B33" s="25" t="str">
        <x:v>B02</x:v>
      </x:c>
      <x:c r="C33" s="25" t="str">
        <x:v>B</x:v>
      </x:c>
      <x:c r="D33" s="25" t="str">
        <x:v>新生成</x:v>
      </x:c>
      <x:c r="E33" s="25" t="str">
        <x:v>R3</x:v>
      </x:c>
      <x:c r="F33" s="25" t="str">
        <x:v>8–10s</x:v>
      </x:c>
      <x:c r="G33" s="25" t="str">
        <x:v>沈岚说还约10天/只剩8天；老周/阿杰说明只能从日程抢时间且会累</x:v>
      </x:c>
      <x:c r="H33" s="25" t="str">
        <x:v>FINAL B02对白</x:v>
      </x:c>
      <x:c r="I33" s="25" t="str">
        <x:v>承接B02A</x:v>
      </x:c>
      <x:c r="J33" s="25" t="str">
        <x:v>静止尾帧Web二选项</x:v>
      </x:c>
      <x:c r="K33" s="25" t="str">
        <x:v>无</x:v>
      </x:c>
      <x:c r="L33" s="25" t="str">
        <x:v>最高</x:v>
      </x:c>
      <x:c r="M33" s="40" t="str">
        <x:v>待生成</x:v>
      </x:c>
    </x:row>
    <x:row r="34">
      <x:c r="A34" s="39" t="str">
        <x:v>B2FB-1</x:v>
      </x:c>
      <x:c r="B34" s="25" t="str">
        <x:v>B02</x:v>
      </x:c>
      <x:c r="C34" s="25" t="str">
        <x:v>B</x:v>
      </x:c>
      <x:c r="D34" s="25" t="str">
        <x:v>分支反馈</x:v>
      </x:c>
      <x:c r="E34" s="25" t="str">
        <x:v>R3</x:v>
      </x:c>
      <x:c r="F34" s="25" t="str">
        <x:v>6–8s</x:v>
      </x:c>
      <x:c r="G34" s="25" t="str">
        <x:v>提速：提前次日出发/压午休/傍晚多走</x:v>
      </x:c>
      <x:c r="H34" s="25" t="str">
        <x:v>老周+阿杰短句</x:v>
      </x:c>
      <x:c r="I34" s="25" t="str">
        <x:v>B02尾帧起</x:v>
      </x:c>
      <x:c r="J34" s="25" t="str">
        <x:v>接B03A时间蒙太奇</x:v>
      </x:c>
      <x:c r="K34" s="25" t="str">
        <x:v>无</x:v>
      </x:c>
      <x:c r="L34" s="25" t="str">
        <x:v>中</x:v>
      </x:c>
      <x:c r="M34" s="40" t="str">
        <x:v>待生成</x:v>
      </x:c>
    </x:row>
    <x:row r="35">
      <x:c r="A35" s="39" t="str">
        <x:v>B2FB-2</x:v>
      </x:c>
      <x:c r="B35" s="25" t="str">
        <x:v>B02</x:v>
      </x:c>
      <x:c r="C35" s="25" t="str">
        <x:v>B</x:v>
      </x:c>
      <x:c r="D35" s="25" t="str">
        <x:v>分支反馈</x:v>
      </x:c>
      <x:c r="E35" s="25" t="str">
        <x:v>R3</x:v>
      </x:c>
      <x:c r="F35" s="25" t="str">
        <x:v>6–8s</x:v>
      </x:c>
      <x:c r="G35" s="25" t="str">
        <x:v>维持：收地图，按原节奏继续；沈岚重算</x:v>
      </x:c>
      <x:c r="H35" s="25" t="str">
        <x:v>FINAL即时反馈</x:v>
      </x:c>
      <x:c r="I35" s="25" t="str">
        <x:v>B02尾帧起</x:v>
      </x:c>
      <x:c r="J35" s="25" t="str">
        <x:v>接B03B</x:v>
      </x:c>
      <x:c r="K35" s="25" t="str">
        <x:v>无</x:v>
      </x:c>
      <x:c r="L35" s="25" t="str">
        <x:v>中</x:v>
      </x:c>
      <x:c r="M35" s="40" t="str">
        <x:v>待生成</x:v>
      </x:c>
    </x:row>
    <x:row r="36">
      <x:c r="A36" s="39" t="str">
        <x:v>B03A1</x:v>
      </x:c>
      <x:c r="B36" s="25" t="str">
        <x:v>B03A</x:v>
      </x:c>
      <x:c r="C36" s="25" t="str">
        <x:v>B</x:v>
      </x:c>
      <x:c r="D36" s="25" t="str">
        <x:v>新生成</x:v>
      </x:c>
      <x:c r="E36" s="25" t="str">
        <x:v>R1</x:v>
      </x:c>
      <x:c r="F36" s="25" t="str">
        <x:v>6–8s</x:v>
      </x:c>
      <x:c r="G36" s="25" t="str">
        <x:v>沈岚确认三天追回约一天</x:v>
      </x:c>
      <x:c r="H36" s="25" t="str">
        <x:v>FINAL对白</x:v>
      </x:c>
      <x:c r="I36" s="25" t="str">
        <x:v>共享谷地后段母版</x:v>
      </x:c>
      <x:c r="J36" s="25" t="str">
        <x:v>尾帧看向疲劳队伍</x:v>
      </x:c>
      <x:c r="K36" s="25" t="str">
        <x:v>VALLEY_LATE</x:v>
      </x:c>
      <x:c r="L36" s="25" t="str">
        <x:v>高</x:v>
      </x:c>
      <x:c r="M36" s="40" t="str">
        <x:v>待生成</x:v>
      </x:c>
    </x:row>
    <x:row r="37">
      <x:c r="A37" s="39" t="str">
        <x:v>B03A2</x:v>
      </x:c>
      <x:c r="B37" s="25" t="str">
        <x:v>B03A</x:v>
      </x:c>
      <x:c r="C37" s="25" t="str">
        <x:v>B</x:v>
      </x:c>
      <x:c r="D37" s="25" t="str">
        <x:v>新生成</x:v>
      </x:c>
      <x:c r="E37" s="25" t="str">
        <x:v>R1</x:v>
      </x:c>
      <x:c r="F37" s="25" t="str">
        <x:v>8–10s</x:v>
      </x:c>
      <x:c r="G37" s="25" t="str">
        <x:v>起身慢/扎营迟/手发软；阿杰说几乎无恢复余量</x:v>
      </x:c>
      <x:c r="H37" s="25" t="str">
        <x:v>FINAL对白</x:v>
      </x:c>
      <x:c r="I37" s="25" t="str">
        <x:v>承接B03A1</x:v>
      </x:c>
      <x:c r="J37" s="25" t="str">
        <x:v>尾帧休整点</x:v>
      </x:c>
      <x:c r="K37" s="25" t="str">
        <x:v>VALLEY_LATE</x:v>
      </x:c>
      <x:c r="L37" s="25" t="str">
        <x:v>高</x:v>
      </x:c>
      <x:c r="M37" s="40" t="str">
        <x:v>待生成</x:v>
      </x:c>
    </x:row>
    <x:row r="38">
      <x:c r="A38" s="39" t="str">
        <x:v>B03B1</x:v>
      </x:c>
      <x:c r="B38" s="25" t="str">
        <x:v>B03B</x:v>
      </x:c>
      <x:c r="C38" s="25" t="str">
        <x:v>B</x:v>
      </x:c>
      <x:c r="D38" s="25" t="str">
        <x:v>新生成</x:v>
      </x:c>
      <x:c r="E38" s="25" t="str">
        <x:v>R1</x:v>
      </x:c>
      <x:c r="F38" s="25" t="str">
        <x:v>9–12s</x:v>
      </x:c>
      <x:c r="G38" s="25" t="str">
        <x:v>队伍状态稳定；沈岚确认十四天保不住；老周说现在追更狠</x:v>
      </x:c>
      <x:c r="H38" s="25" t="str">
        <x:v>FINAL B03B对白</x:v>
      </x:c>
      <x:c r="I38" s="25" t="str">
        <x:v>共享谷地后段母版</x:v>
      </x:c>
      <x:c r="J38" s="25" t="str">
        <x:v>尾帧休整点</x:v>
      </x:c>
      <x:c r="K38" s="25" t="str">
        <x:v>VALLEY_LATE</x:v>
      </x:c>
      <x:c r="L38" s="25" t="str">
        <x:v>高</x:v>
      </x:c>
      <x:c r="M38" s="40" t="str">
        <x:v>待生成</x:v>
      </x:c>
    </x:row>
    <x:row r="39">
      <x:c r="A39" s="39" t="str">
        <x:v>B04A</x:v>
      </x:c>
      <x:c r="B39" s="25" t="str">
        <x:v>B04</x:v>
      </x:c>
      <x:c r="C39" s="25" t="str">
        <x:v>B</x:v>
      </x:c>
      <x:c r="D39" s="25" t="str">
        <x:v>条件变体</x:v>
      </x:c>
      <x:c r="E39" s="25" t="str">
        <x:v>R1</x:v>
      </x:c>
      <x:c r="F39" s="25" t="str">
        <x:v>10–12s</x:v>
      </x:c>
      <x:c r="G39" s="25" t="str">
        <x:v>早提速前情：还有机会，但再压几乎无恢复；要么走到底要么降回</x:v>
      </x:c>
      <x:c r="H39" s="25" t="str">
        <x:v>FINAL B04A对白</x:v>
      </x:c>
      <x:c r="I39" s="25" t="str">
        <x:v>共享休整母版</x:v>
      </x:c>
      <x:c r="J39" s="25" t="str">
        <x:v>Web二选项尾帧</x:v>
      </x:c>
      <x:c r="K39" s="25" t="str">
        <x:v>VALLEY_LATE</x:v>
      </x:c>
      <x:c r="L39" s="25" t="str">
        <x:v>高</x:v>
      </x:c>
      <x:c r="M39" s="40" t="str">
        <x:v>待生成</x:v>
      </x:c>
    </x:row>
    <x:row r="40">
      <x:c r="A40" s="39" t="str">
        <x:v>B04B</x:v>
      </x:c>
      <x:c r="B40" s="25" t="str">
        <x:v>B04</x:v>
      </x:c>
      <x:c r="C40" s="25" t="str">
        <x:v>B</x:v>
      </x:c>
      <x:c r="D40" s="25" t="str">
        <x:v>条件变体</x:v>
      </x:c>
      <x:c r="E40" s="25" t="str">
        <x:v>R1</x:v>
      </x:c>
      <x:c r="F40" s="25" t="str">
        <x:v>10–12s</x:v>
      </x:c>
      <x:c r="G40" s="25" t="str">
        <x:v>一直稳走前情：不加速窗口已没；现在追比三天前更伤</x:v>
      </x:c>
      <x:c r="H40" s="25" t="str">
        <x:v>FINAL B04B对白</x:v>
      </x:c>
      <x:c r="I40" s="25" t="str">
        <x:v>共享休整母版</x:v>
      </x:c>
      <x:c r="J40" s="25" t="str">
        <x:v>Web二选项尾帧</x:v>
      </x:c>
      <x:c r="K40" s="25" t="str">
        <x:v>VALLEY_LATE</x:v>
      </x:c>
      <x:c r="L40" s="25" t="str">
        <x:v>高</x:v>
      </x:c>
      <x:c r="M40" s="40" t="str">
        <x:v>待生成</x:v>
      </x:c>
    </x:row>
    <x:row r="41">
      <x:c r="A41" s="39" t="str">
        <x:v>B4FB-1</x:v>
      </x:c>
      <x:c r="B41" s="25" t="str">
        <x:v>B04</x:v>
      </x:c>
      <x:c r="C41" s="25" t="str">
        <x:v>B</x:v>
      </x:c>
      <x:c r="D41" s="25" t="str">
        <x:v>分支反馈</x:v>
      </x:c>
      <x:c r="E41" s="25" t="str">
        <x:v>R3</x:v>
      </x:c>
      <x:c r="F41" s="25" t="str">
        <x:v>5–7s</x:v>
      </x:c>
      <x:c r="G41" s="25" t="str">
        <x:v>保持高强度：确认明早继续提前走</x:v>
      </x:c>
      <x:c r="H41" s="25" t="str">
        <x:v>老周短句</x:v>
      </x:c>
      <x:c r="I41" s="25" t="str">
        <x:v>B04A尾帧起</x:v>
      </x:c>
      <x:c r="J41" s="25" t="str">
        <x:v>接X01</x:v>
      </x:c>
      <x:c r="K41" s="25" t="str">
        <x:v>无</x:v>
      </x:c>
      <x:c r="L41" s="25" t="str">
        <x:v>中</x:v>
      </x:c>
      <x:c r="M41" s="40" t="str">
        <x:v>待生成</x:v>
      </x:c>
    </x:row>
    <x:row r="42">
      <x:c r="A42" s="39" t="str">
        <x:v>B4FB-2</x:v>
      </x:c>
      <x:c r="B42" s="25" t="str">
        <x:v>B04</x:v>
      </x:c>
      <x:c r="C42" s="25" t="str">
        <x:v>B</x:v>
      </x:c>
      <x:c r="D42" s="25" t="str">
        <x:v>分支反馈</x:v>
      </x:c>
      <x:c r="E42" s="25" t="str">
        <x:v>R3</x:v>
      </x:c>
      <x:c r="F42" s="25" t="str">
        <x:v>5–7s</x:v>
      </x:c>
      <x:c r="G42" s="25" t="str">
        <x:v>恢复可持续：补回休整；沈岚说可能差几个小时</x:v>
      </x:c>
      <x:c r="H42" s="25" t="str">
        <x:v>阿杰+沈岚短句</x:v>
      </x:c>
      <x:c r="I42" s="25" t="str">
        <x:v>B04A尾帧起</x:v>
      </x:c>
      <x:c r="J42" s="25" t="str">
        <x:v>接X01</x:v>
      </x:c>
      <x:c r="K42" s="25" t="str">
        <x:v>无</x:v>
      </x:c>
      <x:c r="L42" s="25" t="str">
        <x:v>中</x:v>
      </x:c>
      <x:c r="M42" s="40" t="str">
        <x:v>待生成</x:v>
      </x:c>
    </x:row>
    <x:row r="43">
      <x:c r="A43" s="39" t="str">
        <x:v>B4FB-3</x:v>
      </x:c>
      <x:c r="B43" s="25" t="str">
        <x:v>B04</x:v>
      </x:c>
      <x:c r="C43" s="25" t="str">
        <x:v>B</x:v>
      </x:c>
      <x:c r="D43" s="25" t="str">
        <x:v>分支反馈</x:v>
      </x:c>
      <x:c r="E43" s="25" t="str">
        <x:v>R3</x:v>
      </x:c>
      <x:c r="F43" s="25" t="str">
        <x:v>5–7s</x:v>
      </x:c>
      <x:c r="G43" s="25" t="str">
        <x:v>最后冲刺：天亮前走，阿杰盯状态</x:v>
      </x:c>
      <x:c r="H43" s="25" t="str">
        <x:v>老周+阿杰短句</x:v>
      </x:c>
      <x:c r="I43" s="25" t="str">
        <x:v>B04B尾帧起</x:v>
      </x:c>
      <x:c r="J43" s="25" t="str">
        <x:v>接X01</x:v>
      </x:c>
      <x:c r="K43" s="25" t="str">
        <x:v>无</x:v>
      </x:c>
      <x:c r="L43" s="25" t="str">
        <x:v>中</x:v>
      </x:c>
      <x:c r="M43" s="40" t="str">
        <x:v>待生成</x:v>
      </x:c>
    </x:row>
    <x:row r="44">
      <x:c r="A44" s="39" t="str">
        <x:v>B4FB-4</x:v>
      </x:c>
      <x:c r="B44" s="25" t="str">
        <x:v>B04</x:v>
      </x:c>
      <x:c r="C44" s="25" t="str">
        <x:v>B</x:v>
      </x:c>
      <x:c r="D44" s="25" t="str">
        <x:v>分支反馈</x:v>
      </x:c>
      <x:c r="E44" s="25" t="str">
        <x:v>R3</x:v>
      </x:c>
      <x:c r="F44" s="25" t="str">
        <x:v>5–7s</x:v>
      </x:c>
      <x:c r="G44" s="25" t="str">
        <x:v>继续稳走：不再追钟，按能走完的速度走</x:v>
      </x:c>
      <x:c r="H44" s="25" t="str">
        <x:v>老周+沈岚短句</x:v>
      </x:c>
      <x:c r="I44" s="25" t="str">
        <x:v>B04B尾帧起</x:v>
      </x:c>
      <x:c r="J44" s="25" t="str">
        <x:v>接X01</x:v>
      </x:c>
      <x:c r="K44" s="25" t="str">
        <x:v>无</x:v>
      </x:c>
      <x:c r="L44" s="25" t="str">
        <x:v>中</x:v>
      </x:c>
      <x:c r="M44" s="40" t="str">
        <x:v>待生成</x:v>
      </x:c>
    </x:row>
    <x:row r="45">
      <x:c r="A45" s="39" t="str">
        <x:v>C01A</x:v>
      </x:c>
      <x:c r="B45" s="25" t="str">
        <x:v>C01</x:v>
      </x:c>
      <x:c r="C45" s="25" t="str">
        <x:v>C</x:v>
      </x:c>
      <x:c r="D45" s="25" t="str">
        <x:v>新生成</x:v>
      </x:c>
      <x:c r="E45" s="25" t="str">
        <x:v>R1</x:v>
      </x:c>
      <x:c r="F45" s="25" t="str">
        <x:v>8–10s</x:v>
      </x:c>
      <x:c r="G45" s="25" t="str">
        <x:v>Day0→Day1营地观察、天气变差、没有出发</x:v>
      </x:c>
      <x:c r="H45" s="25" t="str">
        <x:v>环境声/少对白</x:v>
      </x:c>
      <x:c r="I45" s="25" t="str">
        <x:v>共享WAIT_CAMP视觉基底</x:v>
      </x:c>
      <x:c r="J45" s="25" t="str">
        <x:v>尾帧天气设备/地图</x:v>
      </x:c>
      <x:c r="K45" s="25" t="str">
        <x:v>WAIT_CAMP</x:v>
      </x:c>
      <x:c r="L45" s="25" t="str">
        <x:v>高</x:v>
      </x:c>
      <x:c r="M45" s="40" t="str">
        <x:v>待生成</x:v>
      </x:c>
    </x:row>
    <x:row r="46">
      <x:c r="A46" s="39" t="str">
        <x:v>C01B</x:v>
      </x:c>
      <x:c r="B46" s="25" t="str">
        <x:v>C01</x:v>
      </x:c>
      <x:c r="C46" s="25" t="str">
        <x:v>C</x:v>
      </x:c>
      <x:c r="D46" s="25" t="str">
        <x:v>新生成</x:v>
      </x:c>
      <x:c r="E46" s="25" t="str">
        <x:v>R1</x:v>
      </x:c>
      <x:c r="F46" s="25" t="str">
        <x:v>8–10s</x:v>
      </x:c>
      <x:c r="G46" s="25" t="str">
        <x:v>Day2：手略恢复、信息到达；沈岚“两天到了”</x:v>
      </x:c>
      <x:c r="H46" s="25" t="str">
        <x:v>FINAL C01对白</x:v>
      </x:c>
      <x:c r="I46" s="25" t="str">
        <x:v>承接C01A</x:v>
      </x:c>
      <x:c r="J46" s="25" t="str">
        <x:v>尾帧新天气信息</x:v>
      </x:c>
      <x:c r="K46" s="25" t="str">
        <x:v>WAIT_CAMP</x:v>
      </x:c>
      <x:c r="L46" s="25" t="str">
        <x:v>高</x:v>
      </x:c>
      <x:c r="M46" s="40" t="str">
        <x:v>待生成</x:v>
      </x:c>
    </x:row>
    <x:row r="47">
      <x:c r="A47" s="39" t="str">
        <x:v>C02A</x:v>
      </x:c>
      <x:c r="B47" s="25" t="str">
        <x:v>C02</x:v>
      </x:c>
      <x:c r="C47" s="25" t="str">
        <x:v>C</x:v>
      </x:c>
      <x:c r="D47" s="25" t="str">
        <x:v>新生成</x:v>
      </x:c>
      <x:c r="E47" s="25" t="str">
        <x:v>R3</x:v>
      </x:c>
      <x:c r="F47" s="25" t="str">
        <x:v>8–10s</x:v>
      </x:c>
      <x:c r="G47" s="25" t="str">
        <x:v>老周说明暴风确定，但山口能否通仍未知</x:v>
      </x:c>
      <x:c r="H47" s="25" t="str">
        <x:v>FINAL C02前半对白</x:v>
      </x:c>
      <x:c r="I47" s="25" t="str">
        <x:v>营地人物位置连续</x:v>
      </x:c>
      <x:c r="J47" s="25" t="str">
        <x:v>尾帧指向地图山口</x:v>
      </x:c>
      <x:c r="K47" s="25" t="str">
        <x:v>无</x:v>
      </x:c>
      <x:c r="L47" s="25" t="str">
        <x:v>最高</x:v>
      </x:c>
      <x:c r="M47" s="40" t="str">
        <x:v>待生成</x:v>
      </x:c>
    </x:row>
    <x:row r="48">
      <x:c r="A48" s="39" t="str">
        <x:v>C02B</x:v>
      </x:c>
      <x:c r="B48" s="25" t="str">
        <x:v>C02</x:v>
      </x:c>
      <x:c r="C48" s="25" t="str">
        <x:v>C</x:v>
      </x:c>
      <x:c r="D48" s="25" t="str">
        <x:v>新生成</x:v>
      </x:c>
      <x:c r="E48" s="25" t="str">
        <x:v>R3</x:v>
      </x:c>
      <x:c r="F48" s="25" t="str">
        <x:v>8–10s</x:v>
      </x:c>
      <x:c r="G48" s="25" t="str">
        <x:v>沈岚说明两天已花/现在走谷地也基本超期/第三天信息值不值</x:v>
      </x:c>
      <x:c r="H48" s="25" t="str">
        <x:v>FINAL C02后半对白</x:v>
      </x:c>
      <x:c r="I48" s="25" t="str">
        <x:v>承接C02A</x:v>
      </x:c>
      <x:c r="J48" s="25" t="str">
        <x:v>Web二选项尾帧</x:v>
      </x:c>
      <x:c r="K48" s="25" t="str">
        <x:v>无</x:v>
      </x:c>
      <x:c r="L48" s="25" t="str">
        <x:v>最高</x:v>
      </x:c>
      <x:c r="M48" s="40" t="str">
        <x:v>待生成</x:v>
      </x:c>
    </x:row>
    <x:row r="49">
      <x:c r="A49" s="39" t="str">
        <x:v>C2FB-1</x:v>
      </x:c>
      <x:c r="B49" s="25" t="str">
        <x:v>C02</x:v>
      </x:c>
      <x:c r="C49" s="25" t="str">
        <x:v>C</x:v>
      </x:c>
      <x:c r="D49" s="25" t="str">
        <x:v>分支反馈</x:v>
      </x:c>
      <x:c r="E49" s="25" t="str">
        <x:v>R3</x:v>
      </x:c>
      <x:c r="F49" s="25" t="str">
        <x:v>5–7s</x:v>
      </x:c>
      <x:c r="G49" s="25" t="str">
        <x:v>再等一天：地图不收、标Day3、老周说明明天必须动</x:v>
      </x:c>
      <x:c r="H49" s="25" t="str">
        <x:v>FINAL短句</x:v>
      </x:c>
      <x:c r="I49" s="25" t="str">
        <x:v>C02尾帧起</x:v>
      </x:c>
      <x:c r="J49" s="25" t="str">
        <x:v>接C03</x:v>
      </x:c>
      <x:c r="K49" s="25" t="str">
        <x:v>无</x:v>
      </x:c>
      <x:c r="L49" s="25" t="str">
        <x:v>中</x:v>
      </x:c>
      <x:c r="M49" s="40" t="str">
        <x:v>待生成</x:v>
      </x:c>
    </x:row>
    <x:row r="50">
      <x:c r="A50" s="39" t="str">
        <x:v>C2FB-2</x:v>
      </x:c>
      <x:c r="B50" s="25" t="str">
        <x:v>C02</x:v>
      </x:c>
      <x:c r="C50" s="25" t="str">
        <x:v>C</x:v>
      </x:c>
      <x:c r="D50" s="25" t="str">
        <x:v>分支反馈</x:v>
      </x:c>
      <x:c r="E50" s="25" t="str">
        <x:v>R3</x:v>
      </x:c>
      <x:c r="F50" s="25" t="str">
        <x:v>5–7s</x:v>
      </x:c>
      <x:c r="G50" s="25" t="str">
        <x:v>转谷地：立即收地图/装备出发</x:v>
      </x:c>
      <x:c r="H50" s="25" t="str">
        <x:v>老周+沈岚短句</x:v>
      </x:c>
      <x:c r="I50" s="25" t="str">
        <x:v>C02尾帧起</x:v>
      </x:c>
      <x:c r="J50" s="25" t="str">
        <x:v>接SH-VAL-01</x:v>
      </x:c>
      <x:c r="K50" s="25" t="str">
        <x:v>无</x:v>
      </x:c>
      <x:c r="L50" s="25" t="str">
        <x:v>中</x:v>
      </x:c>
      <x:c r="M50" s="40" t="str">
        <x:v>待生成</x:v>
      </x:c>
    </x:row>
    <x:row r="51">
      <x:c r="A51" s="39" t="str">
        <x:v>C03A</x:v>
      </x:c>
      <x:c r="B51" s="25" t="str">
        <x:v>C03</x:v>
      </x:c>
      <x:c r="C51" s="25" t="str">
        <x:v>C</x:v>
      </x:c>
      <x:c r="D51" s="25" t="str">
        <x:v>新生成</x:v>
      </x:c>
      <x:c r="E51" s="25" t="str">
        <x:v>R3</x:v>
      </x:c>
      <x:c r="F51" s="25" t="str">
        <x:v>8–10s</x:v>
      </x:c>
      <x:c r="G51" s="25" t="str">
        <x:v>Day3第二轮信息：山口未确认封死、最差阶段后有机会</x:v>
      </x:c>
      <x:c r="H51" s="25" t="str">
        <x:v>老周FINAL对白</x:v>
      </x:c>
      <x:c r="I51" s="25" t="str">
        <x:v>同营地连续</x:v>
      </x:c>
      <x:c r="J51" s="25" t="str">
        <x:v>尾帧地图/天气</x:v>
      </x:c>
      <x:c r="K51" s="25" t="str">
        <x:v>无</x:v>
      </x:c>
      <x:c r="L51" s="25" t="str">
        <x:v>最高</x:v>
      </x:c>
      <x:c r="M51" s="40" t="str">
        <x:v>待生成</x:v>
      </x:c>
    </x:row>
    <x:row r="52">
      <x:c r="A52" s="39" t="str">
        <x:v>C03B</x:v>
      </x:c>
      <x:c r="B52" s="25" t="str">
        <x:v>C03</x:v>
      </x:c>
      <x:c r="C52" s="25" t="str">
        <x:v>C</x:v>
      </x:c>
      <x:c r="D52" s="25" t="str">
        <x:v>新生成</x:v>
      </x:c>
      <x:c r="E52" s="25" t="str">
        <x:v>R3</x:v>
      </x:c>
      <x:c r="F52" s="25" t="str">
        <x:v>7–9s</x:v>
      </x:c>
      <x:c r="G52" s="25" t="str">
        <x:v>沈岚：剩11天；三种行动方向交给玩家</x:v>
      </x:c>
      <x:c r="H52" s="25" t="str">
        <x:v>FINAL对白</x:v>
      </x:c>
      <x:c r="I52" s="25" t="str">
        <x:v>承接C03A</x:v>
      </x:c>
      <x:c r="J52" s="25" t="str">
        <x:v>Web三选项尾帧</x:v>
      </x:c>
      <x:c r="K52" s="25" t="str">
        <x:v>无</x:v>
      </x:c>
      <x:c r="L52" s="25" t="str">
        <x:v>最高</x:v>
      </x:c>
      <x:c r="M52" s="40" t="str">
        <x:v>待生成</x:v>
      </x:c>
    </x:row>
    <x:row r="53">
      <x:c r="A53" s="39" t="str">
        <x:v>C04M1</x:v>
      </x:c>
      <x:c r="B53" s="25" t="str">
        <x:v>C04M</x:v>
      </x:c>
      <x:c r="C53" s="25" t="str">
        <x:v>C</x:v>
      </x:c>
      <x:c r="D53" s="25" t="str">
        <x:v>前情变体</x:v>
      </x:c>
      <x:c r="E53" s="25" t="str">
        <x:v>R1</x:v>
      </x:c>
      <x:c r="F53" s="25" t="str">
        <x:v>7–9s</x:v>
      </x:c>
      <x:c r="G53" s="25" t="str">
        <x:v>真正出发，老周：最差那段没撞上</x:v>
      </x:c>
      <x:c r="H53" s="25" t="str">
        <x:v>FINAL短句</x:v>
      </x:c>
      <x:c r="I53" s="25" t="str">
        <x:v>从营地转共享山路</x:v>
      </x:c>
      <x:c r="J53" s="25" t="str">
        <x:v>尾帧进入低处山路</x:v>
      </x:c>
      <x:c r="K53" s="25" t="str">
        <x:v>MTN_NEUTRAL</x:v>
      </x:c>
      <x:c r="L53" s="25" t="str">
        <x:v>中</x:v>
      </x:c>
      <x:c r="M53" s="40" t="str">
        <x:v>待生成</x:v>
      </x:c>
    </x:row>
    <x:row r="54">
      <x:c r="A54" s="39" t="str">
        <x:v>C04V-A</x:v>
      </x:c>
      <x:c r="B54" s="25" t="str">
        <x:v>C04V</x:v>
      </x:c>
      <x:c r="C54" s="25" t="str">
        <x:v>C</x:v>
      </x:c>
      <x:c r="D54" s="25" t="str">
        <x:v>前情变体</x:v>
      </x:c>
      <x:c r="E54" s="25" t="str">
        <x:v>R1</x:v>
      </x:c>
      <x:c r="F54" s="25" t="str">
        <x:v>7–9s</x:v>
      </x:c>
      <x:c r="G54" s="25" t="str">
        <x:v>Day2/3转谷地：沈岚说按今天重算，前面等待时间不回来</x:v>
      </x:c>
      <x:c r="H54" s="25" t="str">
        <x:v>FINAL短句</x:v>
      </x:c>
      <x:c r="I54" s="25" t="str">
        <x:v>从营地转谷地</x:v>
      </x:c>
      <x:c r="J54" s="25" t="str">
        <x:v>接SH-VAL-01</x:v>
      </x:c>
      <x:c r="K54" s="25" t="str">
        <x:v>VALLEY_LATE</x:v>
      </x:c>
      <x:c r="L54" s="25" t="str">
        <x:v>中</x:v>
      </x:c>
      <x:c r="M54" s="40" t="str">
        <x:v>待生成</x:v>
      </x:c>
    </x:row>
    <x:row r="55">
      <x:c r="A55" s="39" t="str">
        <x:v>C04V-B</x:v>
      </x:c>
      <x:c r="B55" s="25" t="str">
        <x:v>C04V</x:v>
      </x:c>
      <x:c r="C55" s="25" t="str">
        <x:v>C</x:v>
      </x:c>
      <x:c r="D55" s="25" t="str">
        <x:v>前情变体</x:v>
      </x:c>
      <x:c r="E55" s="25" t="str">
        <x:v>R1</x:v>
      </x:c>
      <x:c r="F55" s="25" t="str">
        <x:v>7–9s</x:v>
      </x:c>
      <x:c r="G55" s="25" t="str">
        <x:v>C06后改路：老周先下低处、原山路计划到此停</x:v>
      </x:c>
      <x:c r="H55" s="25" t="str">
        <x:v>FINAL短句</x:v>
      </x:c>
      <x:c r="I55" s="25" t="str">
        <x:v>从山路转低地</x:v>
      </x:c>
      <x:c r="J55" s="25" t="str">
        <x:v>接SH-VAL-01</x:v>
      </x:c>
      <x:c r="K55" s="25" t="str">
        <x:v>VALLEY_LATE</x:v>
      </x:c>
      <x:c r="L55" s="25" t="str">
        <x:v>中</x:v>
      </x:c>
      <x:c r="M55" s="40" t="str">
        <x:v>待生成</x:v>
      </x:c>
    </x:row>
    <x:row r="56">
      <x:c r="A56" s="39" t="str">
        <x:v>C05A</x:v>
      </x:c>
      <x:c r="B56" s="25" t="str">
        <x:v>C05</x:v>
      </x:c>
      <x:c r="C56" s="25" t="str">
        <x:v>C</x:v>
      </x:c>
      <x:c r="D56" s="25" t="str">
        <x:v>正反馈变体</x:v>
      </x:c>
      <x:c r="E56" s="25" t="str">
        <x:v>R1</x:v>
      </x:c>
      <x:c r="F56" s="25" t="str">
        <x:v>7–9s</x:v>
      </x:c>
      <x:c r="G56" s="25" t="str">
        <x:v>老周“现在这个风能走”；沈岚“至少这三天没白等”</x:v>
      </x:c>
      <x:c r="H56" s="25" t="str">
        <x:v>FINAL对白</x:v>
      </x:c>
      <x:c r="I56" s="25" t="str">
        <x:v>承接SH-MTN-02</x:v>
      </x:c>
      <x:c r="J56" s="25" t="str">
        <x:v>尾帧继续山路</x:v>
      </x:c>
      <x:c r="K56" s="25" t="str">
        <x:v>MTN_NEUTRAL</x:v>
      </x:c>
      <x:c r="L56" s="25" t="str">
        <x:v>中</x:v>
      </x:c>
      <x:c r="M56" s="40" t="str">
        <x:v>待生成</x:v>
      </x:c>
    </x:row>
    <x:row r="57">
      <x:c r="A57" s="39" t="str">
        <x:v>C06A</x:v>
      </x:c>
      <x:c r="B57" s="25" t="str">
        <x:v>C06</x:v>
      </x:c>
      <x:c r="C57" s="25" t="str">
        <x:v>C</x:v>
      </x:c>
      <x:c r="D57" s="25" t="str">
        <x:v>新生成</x:v>
      </x:c>
      <x:c r="E57" s="25" t="str">
        <x:v>R1</x:v>
      </x:c>
      <x:c r="F57" s="25" t="str">
        <x:v>8–10s</x:v>
      </x:c>
      <x:c r="G57" s="25" t="str">
        <x:v>现场观察：风在落但比预计慢</x:v>
      </x:c>
      <x:c r="H57" s="25" t="str">
        <x:v>老周FINAL对白</x:v>
      </x:c>
      <x:c r="I57" s="25" t="str">
        <x:v>共享山路后段母版</x:v>
      </x:c>
      <x:c r="J57" s="25" t="str">
        <x:v>尾帧山口</x:v>
      </x:c>
      <x:c r="K57" s="25" t="str">
        <x:v>MTN_LATE</x:v>
      </x:c>
      <x:c r="L57" s="25" t="str">
        <x:v>高</x:v>
      </x:c>
      <x:c r="M57" s="40" t="str">
        <x:v>待生成</x:v>
      </x:c>
    </x:row>
    <x:row r="58">
      <x:c r="A58" s="39" t="str">
        <x:v>C06B</x:v>
      </x:c>
      <x:c r="B58" s="25" t="str">
        <x:v>C06</x:v>
      </x:c>
      <x:c r="C58" s="25" t="str">
        <x:v>C</x:v>
      </x:c>
      <x:c r="D58" s="25" t="str">
        <x:v>新生成</x:v>
      </x:c>
      <x:c r="E58" s="25" t="str">
        <x:v>R1</x:v>
      </x:c>
      <x:c r="F58" s="25" t="str">
        <x:v>8–10s</x:v>
      </x:c>
      <x:c r="G58" s="25" t="str">
        <x:v>沈岚说明原计划有余量；放慢也能争但余量少；阿杰人还能走</x:v>
      </x:c>
      <x:c r="H58" s="25" t="str">
        <x:v>FINAL对白</x:v>
      </x:c>
      <x:c r="I58" s="25" t="str">
        <x:v>承接C06A</x:v>
      </x:c>
      <x:c r="J58" s="25" t="str">
        <x:v>Web三选项尾帧</x:v>
      </x:c>
      <x:c r="K58" s="25" t="str">
        <x:v>MTN_LATE</x:v>
      </x:c>
      <x:c r="L58" s="25" t="str">
        <x:v>高</x:v>
      </x:c>
      <x:c r="M58" s="40" t="str">
        <x:v>待生成</x:v>
      </x:c>
    </x:row>
    <x:row r="59">
      <x:c r="A59" s="39" t="str">
        <x:v>C6FB-1</x:v>
      </x:c>
      <x:c r="B59" s="25" t="str">
        <x:v>C06</x:v>
      </x:c>
      <x:c r="C59" s="25" t="str">
        <x:v>C</x:v>
      </x:c>
      <x:c r="D59" s="25" t="str">
        <x:v>分支反馈</x:v>
      </x:c>
      <x:c r="E59" s="25" t="str">
        <x:v>R3</x:v>
      </x:c>
      <x:c r="F59" s="25" t="str">
        <x:v>5–7s</x:v>
      </x:c>
      <x:c r="G59" s="25" t="str">
        <x:v>继续原计划</x:v>
      </x:c>
      <x:c r="H59" s="25" t="str">
        <x:v>老周：“按原线走。”</x:v>
      </x:c>
      <x:c r="I59" s="25" t="str">
        <x:v>C06尾帧起</x:v>
      </x:c>
      <x:c r="J59" s="25" t="str">
        <x:v>接X01</x:v>
      </x:c>
      <x:c r="K59" s="25" t="str">
        <x:v>无</x:v>
      </x:c>
      <x:c r="L59" s="25" t="str">
        <x:v>中</x:v>
      </x:c>
      <x:c r="M59" s="40" t="str">
        <x:v>待生成</x:v>
      </x:c>
    </x:row>
    <x:row r="60">
      <x:c r="A60" s="39" t="str">
        <x:v>C6FB-2</x:v>
      </x:c>
      <x:c r="B60" s="25" t="str">
        <x:v>C06</x:v>
      </x:c>
      <x:c r="C60" s="25" t="str">
        <x:v>C</x:v>
      </x:c>
      <x:c r="D60" s="25" t="str">
        <x:v>分支反馈</x:v>
      </x:c>
      <x:c r="E60" s="25" t="str">
        <x:v>R3</x:v>
      </x:c>
      <x:c r="F60" s="25" t="str">
        <x:v>5–7s</x:v>
      </x:c>
      <x:c r="G60" s="25" t="str">
        <x:v>放慢观察：找观察位置，说明最后约一天余量</x:v>
      </x:c>
      <x:c r="H60" s="25" t="str">
        <x:v>老周+沈岚短句</x:v>
      </x:c>
      <x:c r="I60" s="25" t="str">
        <x:v>C06尾帧起</x:v>
      </x:c>
      <x:c r="J60" s="25" t="str">
        <x:v>接X01</x:v>
      </x:c>
      <x:c r="K60" s="25" t="str">
        <x:v>无</x:v>
      </x:c>
      <x:c r="L60" s="25" t="str">
        <x:v>中</x:v>
      </x:c>
      <x:c r="M60" s="40" t="str">
        <x:v>待生成</x:v>
      </x:c>
    </x:row>
    <x:row r="61">
      <x:c r="A61" s="39" t="str">
        <x:v>C6FB-3</x:v>
      </x:c>
      <x:c r="B61" s="25" t="str">
        <x:v>C06</x:v>
      </x:c>
      <x:c r="C61" s="25" t="str">
        <x:v>C</x:v>
      </x:c>
      <x:c r="D61" s="25" t="str">
        <x:v>分支反馈</x:v>
      </x:c>
      <x:c r="E61" s="25" t="str">
        <x:v>R3</x:v>
      </x:c>
      <x:c r="F61" s="25" t="str">
        <x:v>5–7s</x:v>
      </x:c>
      <x:c r="G61" s="25" t="str">
        <x:v>停止高地：老周先下低处，沈岚重算</x:v>
      </x:c>
      <x:c r="H61" s="25" t="str">
        <x:v>FINAL短句</x:v>
      </x:c>
      <x:c r="I61" s="25" t="str">
        <x:v>C06尾帧起</x:v>
      </x:c>
      <x:c r="J61" s="25" t="str">
        <x:v>接C04V-B</x:v>
      </x:c>
      <x:c r="K61" s="25" t="str">
        <x:v>无</x:v>
      </x:c>
      <x:c r="L61" s="25" t="str">
        <x:v>中</x:v>
      </x:c>
      <x:c r="M61" s="40" t="str">
        <x:v>待生成</x:v>
      </x:c>
    </x:row>
    <x:row r="62">
      <x:c r="A62" s="39" t="str">
        <x:v>D01A</x:v>
      </x:c>
      <x:c r="B62" s="25" t="str">
        <x:v>D01</x:v>
      </x:c>
      <x:c r="C62" s="25" t="str">
        <x:v>D</x:v>
      </x:c>
      <x:c r="D62" s="25" t="str">
        <x:v>新生成</x:v>
      </x:c>
      <x:c r="E62" s="25" t="str">
        <x:v>R1</x:v>
      </x:c>
      <x:c r="F62" s="25" t="str">
        <x:v>8–10s</x:v>
      </x:c>
      <x:c r="G62" s="25" t="str">
        <x:v>营地外暴风真实发生，队伍安全留营地</x:v>
      </x:c>
      <x:c r="H62" s="25" t="str">
        <x:v>环境声为主</x:v>
      </x:c>
      <x:c r="I62" s="25" t="str">
        <x:v>共享WAIT_CAMP基底但D目标不同</x:v>
      </x:c>
      <x:c r="J62" s="25" t="str">
        <x:v>尾帧回到帐内</x:v>
      </x:c>
      <x:c r="K62" s="25" t="str">
        <x:v>WAIT_CAMP</x:v>
      </x:c>
      <x:c r="L62" s="25" t="str">
        <x:v>高</x:v>
      </x:c>
      <x:c r="M62" s="40" t="str">
        <x:v>待生成</x:v>
      </x:c>
    </x:row>
    <x:row r="63">
      <x:c r="A63" s="39" t="str">
        <x:v>D01B</x:v>
      </x:c>
      <x:c r="B63" s="25" t="str">
        <x:v>D01</x:v>
      </x:c>
      <x:c r="C63" s="25" t="str">
        <x:v>D</x:v>
      </x:c>
      <x:c r="D63" s="25" t="str">
        <x:v>新生成</x:v>
      </x:c>
      <x:c r="E63" s="25" t="str">
        <x:v>R1</x:v>
      </x:c>
      <x:c r="F63" s="25" t="str">
        <x:v>8–10s</x:v>
      </x:c>
      <x:c r="G63" s="25" t="str">
        <x:v>恢复：阿杰说手更稳；老周说山口这几天不适合硬上；沈岚说状态保住了</x:v>
      </x:c>
      <x:c r="H63" s="25" t="str">
        <x:v>FINAL D01对白</x:v>
      </x:c>
      <x:c r="I63" s="25" t="str">
        <x:v>承接D01A</x:v>
      </x:c>
      <x:c r="J63" s="25" t="str">
        <x:v>尾帧平静营地</x:v>
      </x:c>
      <x:c r="K63" s="25" t="str">
        <x:v>WAIT_CAMP</x:v>
      </x:c>
      <x:c r="L63" s="25" t="str">
        <x:v>高</x:v>
      </x:c>
      <x:c r="M63" s="40" t="str">
        <x:v>待生成</x:v>
      </x:c>
    </x:row>
    <x:row r="64">
      <x:c r="A64" s="39" t="str">
        <x:v>D02A</x:v>
      </x:c>
      <x:c r="B64" s="25" t="str">
        <x:v>D02</x:v>
      </x:c>
      <x:c r="C64" s="25" t="str">
        <x:v>D</x:v>
      </x:c>
      <x:c r="D64" s="25" t="str">
        <x:v>新生成</x:v>
      </x:c>
      <x:c r="E64" s="25" t="str">
        <x:v>R3</x:v>
      </x:c>
      <x:c r="F64" s="25" t="str">
        <x:v>8–10s</x:v>
      </x:c>
      <x:c r="G64" s="25" t="str">
        <x:v>Day5外部天气明显改善；老周说风下来一截但不是长期稳定</x:v>
      </x:c>
      <x:c r="H64" s="25" t="str">
        <x:v>FINAL D02前半</x:v>
      </x:c>
      <x:c r="I64" s="25" t="str">
        <x:v>营地连续</x:v>
      </x:c>
      <x:c r="J64" s="25" t="str">
        <x:v>尾帧老周带消息进帐</x:v>
      </x:c>
      <x:c r="K64" s="25" t="str">
        <x:v>无</x:v>
      </x:c>
      <x:c r="L64" s="25" t="str">
        <x:v>最高</x:v>
      </x:c>
      <x:c r="M64" s="40" t="str">
        <x:v>待生成</x:v>
      </x:c>
    </x:row>
    <x:row r="65">
      <x:c r="A65" s="39" t="str">
        <x:v>D02B</x:v>
      </x:c>
      <x:c r="B65" s="25" t="str">
        <x:v>D02</x:v>
      </x:c>
      <x:c r="C65" s="25" t="str">
        <x:v>D</x:v>
      </x:c>
      <x:c r="D65" s="25" t="str">
        <x:v>新生成</x:v>
      </x:c>
      <x:c r="E65" s="25" t="str">
        <x:v>R3</x:v>
      </x:c>
      <x:c r="F65" s="25" t="str">
        <x:v>7–9s</x:v>
      </x:c>
      <x:c r="G65" s="25" t="str">
        <x:v>沈岚说不是第一天/还剩八天多；阿杰说手更稳</x:v>
      </x:c>
      <x:c r="H65" s="25" t="str">
        <x:v>FINAL D02后半</x:v>
      </x:c>
      <x:c r="I65" s="25" t="str">
        <x:v>承接D02A</x:v>
      </x:c>
      <x:c r="J65" s="25" t="str">
        <x:v>尾帧三人等待</x:v>
      </x:c>
      <x:c r="K65" s="25" t="str">
        <x:v>无</x:v>
      </x:c>
      <x:c r="L65" s="25" t="str">
        <x:v>最高</x:v>
      </x:c>
      <x:c r="M65" s="40" t="str">
        <x:v>待生成</x:v>
      </x:c>
    </x:row>
    <x:row r="66">
      <x:c r="A66" s="39" t="str">
        <x:v>D03A</x:v>
      </x:c>
      <x:c r="B66" s="25" t="str">
        <x:v>D03</x:v>
      </x:c>
      <x:c r="C66" s="25" t="str">
        <x:v>D</x:v>
      </x:c>
      <x:c r="D66" s="25" t="str">
        <x:v>交互入口</x:v>
      </x:c>
      <x:c r="E66" s="25" t="str">
        <x:v>R1</x:v>
      </x:c>
      <x:c r="F66" s="25" t="str">
        <x:v>6–8s</x:v>
      </x:c>
      <x:c r="G66" s="25" t="str">
        <x:v>短停顿，三人等玩家在新事实下决定</x:v>
      </x:c>
      <x:c r="H66" s="25" t="str">
        <x:v>无长对白</x:v>
      </x:c>
      <x:c r="I66" s="25" t="str">
        <x:v>可直接续D02B真实尾帧</x:v>
      </x:c>
      <x:c r="J66" s="25" t="str">
        <x:v>Web二选项尾帧</x:v>
      </x:c>
      <x:c r="K66" s="25" t="str">
        <x:v>WAIT_WINDOW</x:v>
      </x:c>
      <x:c r="L66" s="25" t="str">
        <x:v>最高</x:v>
      </x:c>
      <x:c r="M66" s="40" t="str">
        <x:v>待生成/可与D02B合并</x:v>
      </x:c>
    </x:row>
    <x:row r="67">
      <x:c r="A67" s="39" t="str">
        <x:v>D3FB-1</x:v>
      </x:c>
      <x:c r="B67" s="25" t="str">
        <x:v>D03</x:v>
      </x:c>
      <x:c r="C67" s="25" t="str">
        <x:v>D</x:v>
      </x:c>
      <x:c r="D67" s="25" t="str">
        <x:v>分支反馈</x:v>
      </x:c>
      <x:c r="E67" s="25" t="str">
        <x:v>R3</x:v>
      </x:c>
      <x:c r="F67" s="25" t="str">
        <x:v>5–7s</x:v>
      </x:c>
      <x:c r="G67" s="25" t="str">
        <x:v>继续等待：老周收地图，团队继续长期安排</x:v>
      </x:c>
      <x:c r="H67" s="25" t="str">
        <x:v>“好。那就不改计划。”</x:v>
      </x:c>
      <x:c r="I67" s="25" t="str">
        <x:v>D03尾帧起</x:v>
      </x:c>
      <x:c r="J67" s="25" t="str">
        <x:v>接D04A</x:v>
      </x:c>
      <x:c r="K67" s="25" t="str">
        <x:v>无</x:v>
      </x:c>
      <x:c r="L67" s="25" t="str">
        <x:v>中</x:v>
      </x:c>
      <x:c r="M67" s="40" t="str">
        <x:v>待生成</x:v>
      </x:c>
    </x:row>
    <x:row r="68">
      <x:c r="A68" s="39" t="str">
        <x:v>D3FB-2</x:v>
      </x:c>
      <x:c r="B68" s="25" t="str">
        <x:v>D03</x:v>
      </x:c>
      <x:c r="C68" s="25" t="str">
        <x:v>D</x:v>
      </x:c>
      <x:c r="D68" s="25" t="str">
        <x:v>分支反馈</x:v>
      </x:c>
      <x:c r="E68" s="25" t="str">
        <x:v>R3</x:v>
      </x:c>
      <x:c r="F68" s="25" t="str">
        <x:v>6–8s</x:v>
      </x:c>
      <x:c r="G68" s="25" t="str">
        <x:v>反转：重新摊山路地图、整理出发；阿杰提醒五天已花</x:v>
      </x:c>
      <x:c r="H68" s="25" t="str">
        <x:v>FINAL即时反馈</x:v>
      </x:c>
      <x:c r="I68" s="25" t="str">
        <x:v>D03尾帧起</x:v>
      </x:c>
      <x:c r="J68" s="25" t="str">
        <x:v>接D04B</x:v>
      </x:c>
      <x:c r="K68" s="25" t="str">
        <x:v>无</x:v>
      </x:c>
      <x:c r="L68" s="25" t="str">
        <x:v>高</x:v>
      </x:c>
      <x:c r="M68" s="40" t="str">
        <x:v>待生成</x:v>
      </x:c>
    </x:row>
    <x:row r="69">
      <x:c r="A69" s="39" t="str">
        <x:v>D04A1</x:v>
      </x:c>
      <x:c r="B69" s="25" t="str">
        <x:v>D04A</x:v>
      </x:c>
      <x:c r="C69" s="25" t="str">
        <x:v>D</x:v>
      </x:c>
      <x:c r="D69" s="25" t="str">
        <x:v>结果推进</x:v>
      </x:c>
      <x:c r="E69" s="25" t="str">
        <x:v>R1</x:v>
      </x:c>
      <x:c r="F69" s="25" t="str">
        <x:v>8–10s</x:v>
      </x:c>
      <x:c r="G69" s="25" t="str">
        <x:v>长期等待继续：天气变化、生活/恢复</x:v>
      </x:c>
      <x:c r="H69" s="25" t="str">
        <x:v>环境/少对白</x:v>
      </x:c>
      <x:c r="I69" s="25" t="str">
        <x:v>营地母版</x:v>
      </x:c>
      <x:c r="J69" s="25" t="str">
        <x:v>尾帧时间推进感</x:v>
      </x:c>
      <x:c r="K69" s="25" t="str">
        <x:v>WAIT_CAMP</x:v>
      </x:c>
      <x:c r="L69" s="25" t="str">
        <x:v>中</x:v>
      </x:c>
      <x:c r="M69" s="40" t="str">
        <x:v>待生成</x:v>
      </x:c>
    </x:row>
    <x:row r="70">
      <x:c r="A70" s="39" t="str">
        <x:v>D04A2</x:v>
      </x:c>
      <x:c r="B70" s="25" t="str">
        <x:v>D04A</x:v>
      </x:c>
      <x:c r="C70" s="25" t="str">
        <x:v>D</x:v>
      </x:c>
      <x:c r="D70" s="25" t="str">
        <x:v>结果推进</x:v>
      </x:c>
      <x:c r="E70" s="25" t="str">
        <x:v>R1</x:v>
      </x:c>
      <x:c r="F70" s="25" t="str">
        <x:v>8–10s</x:v>
      </x:c>
      <x:c r="G70" s="25" t="str">
        <x:v>十四天窗口过去；人物平静确认安全目标</x:v>
      </x:c>
      <x:c r="H70" s="25" t="str">
        <x:v>沈岚/阿杰/老周FINAL尾声对白</x:v>
      </x:c>
      <x:c r="I70" s="25" t="str">
        <x:v>承接D04A1</x:v>
      </x:c>
      <x:c r="J70" s="25" t="str">
        <x:v>接SH-SAFE-01</x:v>
      </x:c>
      <x:c r="K70" s="25" t="str">
        <x:v>SAFE_RETURN</x:v>
      </x:c>
      <x:c r="L70" s="25" t="str">
        <x:v>中</x:v>
      </x:c>
      <x:c r="M70" s="40" t="str">
        <x:v>待生成</x:v>
      </x:c>
    </x:row>
    <x:row r="71">
      <x:c r="A71" s="39" t="str">
        <x:v>D04B1</x:v>
      </x:c>
      <x:c r="B71" s="25" t="str">
        <x:v>D04B</x:v>
      </x:c>
      <x:c r="C71" s="25" t="str">
        <x:v>D</x:v>
      </x:c>
      <x:c r="D71" s="25" t="str">
        <x:v>前情变体</x:v>
      </x:c>
      <x:c r="E71" s="25" t="str">
        <x:v>R1</x:v>
      </x:c>
      <x:c r="F71" s="25" t="str">
        <x:v>7–9s</x:v>
      </x:c>
      <x:c r="G71" s="25" t="str">
        <x:v>反转重新上路，天气比峰值好</x:v>
      </x:c>
      <x:c r="H71" s="25" t="str">
        <x:v>环境/老周短句</x:v>
      </x:c>
      <x:c r="I71" s="25" t="str">
        <x:v>从营地进入共享山路</x:v>
      </x:c>
      <x:c r="J71" s="25" t="str">
        <x:v>接SH-MTN-01</x:v>
      </x:c>
      <x:c r="K71" s="25" t="str">
        <x:v>MTN_NEUTRAL</x:v>
      </x:c>
      <x:c r="L71" s="25" t="str">
        <x:v>高</x:v>
      </x:c>
      <x:c r="M71" s="40" t="str">
        <x:v>待生成</x:v>
      </x:c>
    </x:row>
    <x:row r="72">
      <x:c r="A72" s="39" t="str">
        <x:v>D04B2</x:v>
      </x:c>
      <x:c r="B72" s="25" t="str">
        <x:v>D04B</x:v>
      </x:c>
      <x:c r="C72" s="25" t="str">
        <x:v>D</x:v>
      </x:c>
      <x:c r="D72" s="25" t="str">
        <x:v>前情变体</x:v>
      </x:c>
      <x:c r="E72" s="25" t="str">
        <x:v>R1</x:v>
      </x:c>
      <x:c r="F72" s="25" t="str">
        <x:v>7–9s</x:v>
      </x:c>
      <x:c r="G72" s="25" t="str">
        <x:v>三句：天气更好/手更稳/时间不是第一天</x:v>
      </x:c>
      <x:c r="H72" s="25" t="str">
        <x:v>老周+阿杰+沈岚FINAL三句</x:v>
      </x:c>
      <x:c r="I72" s="25" t="str">
        <x:v>承接SH-MTN-01</x:v>
      </x:c>
      <x:c r="J72" s="25" t="str">
        <x:v>尾帧继续前进</x:v>
      </x:c>
      <x:c r="K72" s="25" t="str">
        <x:v>MTN_NEUTRAL</x:v>
      </x:c>
      <x:c r="L72" s="25" t="str">
        <x:v>高</x:v>
      </x:c>
      <x:c r="M72" s="40" t="str">
        <x:v>待生成</x:v>
      </x:c>
    </x:row>
    <x:row r="73">
      <x:c r="A73" s="39" t="str">
        <x:v>D05A</x:v>
      </x:c>
      <x:c r="B73" s="25" t="str">
        <x:v>D05</x:v>
      </x:c>
      <x:c r="C73" s="25" t="str">
        <x:v>D</x:v>
      </x:c>
      <x:c r="D73" s="25" t="str">
        <x:v>新生成</x:v>
      </x:c>
      <x:c r="E73" s="25" t="str">
        <x:v>R1</x:v>
      </x:c>
      <x:c r="F73" s="25" t="str">
        <x:v>8–10s</x:v>
      </x:c>
      <x:c r="G73" s="25" t="str">
        <x:v>普通小延误：局部风/手疲劳/一段变慢</x:v>
      </x:c>
      <x:c r="H73" s="25" t="str">
        <x:v>老周：“这段比我们算的慢了一点。”</x:v>
      </x:c>
      <x:c r="I73" s="25" t="str">
        <x:v>共享山路后段母版</x:v>
      </x:c>
      <x:c r="J73" s="25" t="str">
        <x:v>尾帧重新看时间</x:v>
      </x:c>
      <x:c r="K73" s="25" t="str">
        <x:v>MTN_LATE</x:v>
      </x:c>
      <x:c r="L73" s="25" t="str">
        <x:v>高</x:v>
      </x:c>
      <x:c r="M73" s="40" t="str">
        <x:v>待生成</x:v>
      </x:c>
    </x:row>
    <x:row r="74">
      <x:c r="A74" s="39" t="str">
        <x:v>D05B</x:v>
      </x:c>
      <x:c r="B74" s="25" t="str">
        <x:v>D05</x:v>
      </x:c>
      <x:c r="C74" s="25" t="str">
        <x:v>D</x:v>
      </x:c>
      <x:c r="D74" s="25" t="str">
        <x:v>新生成</x:v>
      </x:c>
      <x:c r="E74" s="25" t="str">
        <x:v>R1</x:v>
      </x:c>
      <x:c r="F74" s="25" t="str">
        <x:v>8–10s</x:v>
      </x:c>
      <x:c r="G74" s="25" t="str">
        <x:v>沈岚说窗口还在但只剩小时级余量；阿杰降速更舒服但时间会过</x:v>
      </x:c>
      <x:c r="H74" s="25" t="str">
        <x:v>FINAL对白</x:v>
      </x:c>
      <x:c r="I74" s="25" t="str">
        <x:v>承接D05A</x:v>
      </x:c>
      <x:c r="J74" s="25" t="str">
        <x:v>Web二选项尾帧</x:v>
      </x:c>
      <x:c r="K74" s="25" t="str">
        <x:v>MTN_LATE</x:v>
      </x:c>
      <x:c r="L74" s="25" t="str">
        <x:v>高</x:v>
      </x:c>
      <x:c r="M74" s="40" t="str">
        <x:v>待生成</x:v>
      </x:c>
    </x:row>
    <x:row r="75">
      <x:c r="A75" s="39" t="str">
        <x:v>D5FB-1</x:v>
      </x:c>
      <x:c r="B75" s="25" t="str">
        <x:v>D05</x:v>
      </x:c>
      <x:c r="C75" s="25" t="str">
        <x:v>D</x:v>
      </x:c>
      <x:c r="D75" s="25" t="str">
        <x:v>分支反馈</x:v>
      </x:c>
      <x:c r="E75" s="25" t="str">
        <x:v>R3</x:v>
      </x:c>
      <x:c r="F75" s="25" t="str">
        <x:v>5–7s</x:v>
      </x:c>
      <x:c r="G75" s="25" t="str">
        <x:v>继续较快节奏</x:v>
      </x:c>
      <x:c r="H75" s="25" t="str">
        <x:v>老周/阿杰短句</x:v>
      </x:c>
      <x:c r="I75" s="25" t="str">
        <x:v>D05尾帧起</x:v>
      </x:c>
      <x:c r="J75" s="25" t="str">
        <x:v>接X01</x:v>
      </x:c>
      <x:c r="K75" s="25" t="str">
        <x:v>无</x:v>
      </x:c>
      <x:c r="L75" s="25" t="str">
        <x:v>中</x:v>
      </x:c>
      <x:c r="M75" s="40" t="str">
        <x:v>待生成</x:v>
      </x:c>
    </x:row>
    <x:row r="76">
      <x:c r="A76" s="39" t="str">
        <x:v>D5FB-2</x:v>
      </x:c>
      <x:c r="B76" s="25" t="str">
        <x:v>D05</x:v>
      </x:c>
      <x:c r="C76" s="25" t="str">
        <x:v>D</x:v>
      </x:c>
      <x:c r="D76" s="25" t="str">
        <x:v>分支反馈</x:v>
      </x:c>
      <x:c r="E76" s="25" t="str">
        <x:v>R3</x:v>
      </x:c>
      <x:c r="F76" s="25" t="str">
        <x:v>5–7s</x:v>
      </x:c>
      <x:c r="G76" s="25" t="str">
        <x:v>降低强度；沈岚说十四天会过去</x:v>
      </x:c>
      <x:c r="H76" s="25" t="str">
        <x:v>阿杰+沈岚短句</x:v>
      </x:c>
      <x:c r="I76" s="25" t="str">
        <x:v>D05尾帧起</x:v>
      </x:c>
      <x:c r="J76" s="25" t="str">
        <x:v>接X01</x:v>
      </x:c>
      <x:c r="K76" s="25" t="str">
        <x:v>无</x:v>
      </x:c>
      <x:c r="L76" s="25" t="str">
        <x:v>中</x:v>
      </x:c>
      <x:c r="M76" s="40" t="str">
        <x:v>待生成</x:v>
      </x:c>
    </x:row>
    <x:row r="77">
      <x:c r="A77" s="39" t="str">
        <x:v>SH-MTN-01</x:v>
      </x:c>
      <x:c r="B77" s="25" t="str">
        <x:v>共享</x:v>
      </x:c>
      <x:c r="C77" s="25" t="str">
        <x:v>共享</x:v>
      </x:c>
      <x:c r="D77" s="25" t="str">
        <x:v>共享母版</x:v>
      </x:c>
      <x:c r="E77" s="25" t="str">
        <x:v>R0/R1</x:v>
      </x:c>
      <x:c r="F77" s="25" t="str">
        <x:v>8–10s</x:v>
      </x:c>
      <x:c r="G77" s="25" t="str">
        <x:v>暴风峰值后低处山路中性推进，不含路径独有台词</x:v>
      </x:c>
      <x:c r="H77" s="25" t="str">
        <x:v>环境声</x:v>
      </x:c>
      <x:c r="I77" s="25" t="str">
        <x:v>C04M/D04B可共用画面或同prompt变体</x:v>
      </x:c>
      <x:c r="J77" s="25" t="str">
        <x:v>尾帧前方山脊</x:v>
      </x:c>
      <x:c r="K77" s="25" t="str">
        <x:v>新共享母版</x:v>
      </x:c>
      <x:c r="L77" s="25" t="str">
        <x:v>高</x:v>
      </x:c>
      <x:c r="M77" s="40" t="str">
        <x:v>待生成</x:v>
      </x:c>
    </x:row>
    <x:row r="78">
      <x:c r="A78" s="39" t="str">
        <x:v>SH-MTN-02</x:v>
      </x:c>
      <x:c r="B78" s="25" t="str">
        <x:v>共享</x:v>
      </x:c>
      <x:c r="C78" s="25" t="str">
        <x:v>共享</x:v>
      </x:c>
      <x:c r="D78" s="25" t="str">
        <x:v>共享母版</x:v>
      </x:c>
      <x:c r="E78" s="25" t="str">
        <x:v>R0/R1</x:v>
      </x:c>
      <x:c r="F78" s="25" t="str">
        <x:v>8–10s</x:v>
      </x:c>
      <x:c r="G78" s="25" t="str">
        <x:v>中性山路持续推进/扎营，不写死Day数与身体状态</x:v>
      </x:c>
      <x:c r="H78" s="25" t="str">
        <x:v>环境声</x:v>
      </x:c>
      <x:c r="I78" s="25" t="str">
        <x:v>C05等可用</x:v>
      </x:c>
      <x:c r="J78" s="25" t="str">
        <x:v>尾帧适合接角色对白</x:v>
      </x:c>
      <x:c r="K78" s="25" t="str">
        <x:v>新共享母版</x:v>
      </x:c>
      <x:c r="L78" s="25" t="str">
        <x:v>中</x:v>
      </x:c>
      <x:c r="M78" s="40" t="str">
        <x:v>待生成</x:v>
      </x:c>
    </x:row>
    <x:row r="79">
      <x:c r="A79" s="39" t="str">
        <x:v>SH-VAL-01</x:v>
      </x:c>
      <x:c r="B79" s="25" t="str">
        <x:v>共享</x:v>
      </x:c>
      <x:c r="C79" s="25" t="str">
        <x:v>共享</x:v>
      </x:c>
      <x:c r="D79" s="25" t="str">
        <x:v>共享母版</x:v>
      </x:c>
      <x:c r="E79" s="25" t="str">
        <x:v>R0/R1</x:v>
      </x:c>
      <x:c r="F79" s="25" t="str">
        <x:v>8–10s</x:v>
      </x:c>
      <x:c r="G79" s="25" t="str">
        <x:v>晚状态谷地中性行进，不说从Day0就在谷地</x:v>
      </x:c>
      <x:c r="H79" s="25" t="str">
        <x:v>环境声</x:v>
      </x:c>
      <x:c r="I79" s="25" t="str">
        <x:v>A撤回/C转谷地共享</x:v>
      </x:c>
      <x:c r="J79" s="25" t="str">
        <x:v>尾帧持续行进</x:v>
      </x:c>
      <x:c r="K79" s="25" t="str">
        <x:v>新共享母版</x:v>
      </x:c>
      <x:c r="L79" s="25" t="str">
        <x:v>中</x:v>
      </x:c>
      <x:c r="M79" s="40" t="str">
        <x:v>待生成</x:v>
      </x:c>
    </x:row>
    <x:row r="80">
      <x:c r="A80" s="39" t="str">
        <x:v>SH-TOWN-01</x:v>
      </x:c>
      <x:c r="B80" s="25" t="str">
        <x:v>X01</x:v>
      </x:c>
      <x:c r="C80" s="25" t="str">
        <x:v>共享</x:v>
      </x:c>
      <x:c r="D80" s="25" t="str">
        <x:v>共享母版</x:v>
      </x:c>
      <x:c r="E80" s="25" t="str">
        <x:v>R0</x:v>
      </x:c>
      <x:c r="F80" s="25" t="str">
        <x:v>8–10s</x:v>
      </x:c>
      <x:c r="G80" s="25" t="str">
        <x:v>接近镇/办事地点的中性返程终段</x:v>
      </x:c>
      <x:c r="H80" s="25" t="str">
        <x:v>环境声</x:v>
      </x:c>
      <x:c r="I80" s="25" t="str">
        <x:v>所有实际返程路径共享</x:v>
      </x:c>
      <x:c r="J80" s="25" t="str">
        <x:v>尾帧看见目的地</x:v>
      </x:c>
      <x:c r="K80" s="25" t="str">
        <x:v>新共享母版</x:v>
      </x:c>
      <x:c r="L80" s="25" t="str">
        <x:v>高</x:v>
      </x:c>
      <x:c r="M80" s="40" t="str">
        <x:v>待生成</x:v>
      </x:c>
    </x:row>
    <x:row r="81">
      <x:c r="A81" s="39" t="str">
        <x:v>SH-TOWN-02</x:v>
      </x:c>
      <x:c r="B81" s="25" t="str">
        <x:v>X01</x:v>
      </x:c>
      <x:c r="C81" s="25" t="str">
        <x:v>共享</x:v>
      </x:c>
      <x:c r="D81" s="25" t="str">
        <x:v>共享母版</x:v>
      </x:c>
      <x:c r="E81" s="25" t="str">
        <x:v>R0/R1</x:v>
      </x:c>
      <x:c r="F81" s="25" t="str">
        <x:v>6–8s</x:v>
      </x:c>
      <x:c r="G81" s="25" t="str">
        <x:v>抵达指定办事地点/入口，避免拍具体法律程序</x:v>
      </x:c>
      <x:c r="H81" s="25" t="str">
        <x:v>无长对白</x:v>
      </x:c>
      <x:c r="I81" s="25" t="str">
        <x:v>不同身体状态可做短变体</x:v>
      </x:c>
      <x:c r="J81" s="25" t="str">
        <x:v>尾帧交Web结算</x:v>
      </x:c>
      <x:c r="K81" s="25" t="str">
        <x:v>新共享母版</x:v>
      </x:c>
      <x:c r="L81" s="25" t="str">
        <x:v>高</x:v>
      </x:c>
      <x:c r="M81" s="40" t="str">
        <x:v>待生成</x:v>
      </x:c>
    </x:row>
    <x:row r="82">
      <x:c r="A82" s="39" t="str">
        <x:v>SH-SAFE-01</x:v>
      </x:c>
      <x:c r="B82" s="25" t="str">
        <x:v>X02</x:v>
      </x:c>
      <x:c r="C82" s="25" t="str">
        <x:v>共享</x:v>
      </x:c>
      <x:c r="D82" s="25" t="str">
        <x:v>共享母版</x:v>
      </x:c>
      <x:c r="E82" s="25" t="str">
        <x:v>R0/R1</x:v>
      </x:c>
      <x:c r="F82" s="25" t="str">
        <x:v>8–10s</x:v>
      </x:c>
      <x:c r="G82" s="25" t="str">
        <x:v>天气真正稳定后的安全返程中性镜头</x:v>
      </x:c>
      <x:c r="H82" s="25" t="str">
        <x:v>环境声</x:v>
      </x:c>
      <x:c r="I82" s="25" t="str">
        <x:v>D04A/C主动退出可共用或变体</x:v>
      </x:c>
      <x:c r="J82" s="25" t="str">
        <x:v>尾帧队伍完整</x:v>
      </x:c>
      <x:c r="K82" s="25" t="str">
        <x:v>新共享母版</x:v>
      </x:c>
      <x:c r="L82" s="25" t="str">
        <x:v>中</x:v>
      </x:c>
      <x:c r="M82" s="40" t="str">
        <x:v>待生成</x:v>
      </x:c>
    </x:row>
    <x:row r="83">
      <x:c r="A83" s="41" t="str">
        <x:v>SH-SAFE-02</x:v>
      </x:c>
      <x:c r="B83" s="42" t="str">
        <x:v>X02</x:v>
      </x:c>
      <x:c r="C83" s="42" t="str">
        <x:v>共享</x:v>
      </x:c>
      <x:c r="D83" s="42" t="str">
        <x:v>共享母版</x:v>
      </x:c>
      <x:c r="E83" s="42" t="str">
        <x:v>R0/R1</x:v>
      </x:c>
      <x:c r="F83" s="42" t="str">
        <x:v>6–8s</x:v>
      </x:c>
      <x:c r="G83" s="42" t="str">
        <x:v>安全返回尾声/队伍完整状态</x:v>
      </x:c>
      <x:c r="H83" s="42" t="str">
        <x:v>无长对白</x:v>
      </x:c>
      <x:c r="I83" s="42" t="str">
        <x:v>按C/D前情配Web文案</x:v>
      </x:c>
      <x:c r="J83" s="42" t="str">
        <x:v>尾帧交Web复盘</x:v>
      </x:c>
      <x:c r="K83" s="42" t="str">
        <x:v>新共享母版</x:v>
      </x:c>
      <x:c r="L83" s="42" t="str">
        <x:v>中</x:v>
      </x:c>
      <x:c r="M83" s="43" t="str">
        <x:v>待生成</x:v>
      </x:c>
    </x:row>
  </x:sheetData>
  <x:conditionalFormatting sqref="C2:C83">
    <x:cfRule type="expression" dxfId="6" priority="1">
      <x:formula>C2="公共"</x:formula>
    </x:cfRule>
    <x:cfRule type="expression" dxfId="7" priority="2">
      <x:formula>C2="共享"</x:formula>
    </x:cfRule>
    <x:cfRule type="expression" dxfId="8" priority="3">
      <x:formula>C2="A"</x:formula>
    </x:cfRule>
    <x:cfRule type="expression" dxfId="9" priority="4">
      <x:formula>C2="B"</x:formula>
    </x:cfRule>
    <x:cfRule type="expression" dxfId="10" priority="5">
      <x:formula>C2="C"</x:formula>
    </x:cfRule>
    <x:cfRule type="expression" dxfId="11" priority="6">
      <x:formula>C2="D"</x:formula>
    </x:cfRule>
  </x:conditionalFormatting>
  <x:dataValidations count="1">
    <x:dataValidation type="list" sqref="L2:L83">
      <x:formula1>"最高,高,中,低"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f79f0f0e154be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0" hidden="0" customWidth="1"/>
    <x:col min="4" max="4" width="26" hidden="0" customWidth="1"/>
    <x:col min="5" max="5" width="46" hidden="0" customWidth="1"/>
    <x:col min="6" max="6" width="42" hidden="0" customWidth="1"/>
  </x:cols>
  <x:sheetData>
    <x:row r="1">
      <x:c r="A1" s="59" t="str">
        <x:v>旧素材ID</x:v>
      </x:c>
      <x:c r="B1" s="60" t="str">
        <x:v>旧内容</x:v>
      </x:c>
      <x:c r="C1" s="60" t="str">
        <x:v>FINAL对应</x:v>
      </x:c>
      <x:c r="D1" s="60" t="str">
        <x:v>复用决定</x:v>
      </x:c>
      <x:c r="E1" s="60" t="str">
        <x:v>原因</x:v>
      </x:c>
      <x:c r="F1" s="61" t="str">
        <x:v>处理方式</x:v>
      </x:c>
    </x:row>
    <x:row r="2">
      <x:c r="A2" s="39" t="str">
        <x:v>现有intro整段</x:v>
      </x:c>
      <x:c r="B2" s="25" t="str">
        <x:v>公共开场合成片</x:v>
      </x:c>
      <x:c r="C2" s="25" t="str">
        <x:v>P01—P06</x:v>
      </x:c>
      <x:c r="D2" s="25" t="str">
        <x:v>不直接整段锁死</x:v>
      </x:c>
      <x:c r="E2" s="25" t="str">
        <x:v>其中多段视觉可留，但FINAL事实已经修订</x:v>
      </x:c>
      <x:c r="F2" s="40" t="str">
        <x:v>拆片审核，不以“已做完”为保留理由</x:v>
      </x:c>
    </x:row>
    <x:row r="3">
      <x:c r="A3" s="39" t="str">
        <x:v>E01-S03</x:v>
      </x:c>
      <x:c r="B3" s="25" t="str">
        <x:v>十四天/期权</x:v>
      </x:c>
      <x:c r="C3" s="25" t="str">
        <x:v>P02</x:v>
      </x:c>
      <x:c r="D3" s="25" t="str">
        <x:v>R2 视觉参考，建议重做对白</x:v>
      </x:c>
      <x:c r="E3" s="25" t="str">
        <x:v>旧表述存在“矿权合同”等风险，且缺FINAL本人到场规则</x:v>
      </x:c>
      <x:c r="F3" s="40" t="str">
        <x:v>保留人物/帐篷连续性参考</x:v>
      </x:c>
    </x:row>
    <x:row r="4">
      <x:c r="A4" s="39" t="str">
        <x:v>E02-S01</x:v>
      </x:c>
      <x:c r="B4" s="25" t="str">
        <x:v>两条路</x:v>
      </x:c>
      <x:c r="C4" s="25" t="str">
        <x:v>P03</x:v>
      </x:c>
      <x:c r="D4" s="25" t="str">
        <x:v>R0高价值复用候选</x:v>
      </x:c>
      <x:c r="E4" s="25" t="str">
        <x:v>7–10天/至少两周基本可对齐</x:v>
      </x:c>
      <x:c r="F4" s="40" t="str">
        <x:v>核对完整音频后决定是否直用</x:v>
      </x:c>
    </x:row>
    <x:row r="5">
      <x:c r="A5" s="39" t="str">
        <x:v>E02-S02</x:v>
      </x:c>
      <x:c r="B5" s="25" t="str">
        <x:v>48小时</x:v>
      </x:c>
      <x:c r="C5" s="25" t="str">
        <x:v>P04</x:v>
      </x:c>
      <x:c r="D5" s="25" t="str">
        <x:v>R2 部分复用</x:v>
      </x:c>
      <x:c r="E5" s="25" t="str">
        <x:v>旧对白把48小时与封山判断混得过近，缺“若有暴风再约一天”</x:v>
      </x:c>
      <x:c r="F5" s="40" t="str">
        <x:v>可保动作/构图，至少补PUB04B</x:v>
      </x:c>
    </x:row>
    <x:row r="6">
      <x:c r="A6" s="39" t="str">
        <x:v>E02-S03</x:v>
      </x:c>
      <x:c r="B6" s="25" t="str">
        <x:v>左手</x:v>
      </x:c>
      <x:c r="C6" s="25" t="str">
        <x:v>P05</x:v>
      </x:c>
      <x:c r="D6" s="25" t="str">
        <x:v>R2 画面参考/对白建议重做</x:v>
      </x:c>
      <x:c r="E6" s="25" t="str">
        <x:v>旧对白较强地替玩家判断路线，FINAL要求更客观</x:v>
      </x:c>
      <x:c r="F6" s="40" t="str">
        <x:v>角色动作和连续性资产很有价值</x:v>
      </x:c>
    </x:row>
    <x:row r="7">
      <x:c r="A7" s="39" t="str">
        <x:v>E02-S04</x:v>
      </x:c>
      <x:c r="B7" s="25" t="str">
        <x:v>队长决定</x:v>
      </x:c>
      <x:c r="C7" s="25" t="str">
        <x:v>P06</x:v>
      </x:c>
      <x:c r="D7" s="25" t="str">
        <x:v>R0直接复用</x:v>
      </x:c>
      <x:c r="E7" s="25" t="str">
        <x:v>对白“队长，决定吧”与FINAL兼容</x:v>
      </x:c>
      <x:c r="F7" s="40" t="str">
        <x:v>优先直接接Web选择</x:v>
      </x:c>
    </x:row>
    <x:row r="8">
      <x:c r="A8" s="39" t="str">
        <x:v>旧A0关键帧/Pavo包</x:v>
      </x:c>
      <x:c r="B8" s="25" t="str">
        <x:v>山脊暴风</x:v>
      </x:c>
      <x:c r="C8" s="25" t="str">
        <x:v>A02</x:v>
      </x:c>
      <x:c r="D8" s="25" t="str">
        <x:v>R2参考</x:v>
      </x:c>
      <x:c r="E8" s="25" t="str">
        <x:v>旧剧情节点结构不同，但高地风雪/第一人称/人物连续性有价值</x:v>
      </x:c>
      <x:c r="F8" s="40" t="str">
        <x:v>只用作视觉与动作参考</x:v>
      </x:c>
    </x:row>
    <x:row r="9">
      <x:c r="A9" s="39" t="str">
        <x:v>旧B0木桥</x:v>
      </x:c>
      <x:c r="B9" s="25" t="str">
        <x:v>山谷断桥</x:v>
      </x:c>
      <x:c r="C9" s="25" t="str">
        <x:v>B线</x:v>
      </x:c>
      <x:c r="D9" s="25" t="str">
        <x:v>不复用剧情</x:v>
      </x:c>
      <x:c r="E9" s="25" t="str">
        <x:v>FINAL B线明确不靠新事故</x:v>
      </x:c>
      <x:c r="F9" s="40" t="str">
        <x:v>仅中性谷地环境可抽离参考</x:v>
      </x:c>
    </x:row>
    <x:row r="10">
      <x:c r="A10" s="39" t="str">
        <x:v>旧C0等待48小时</x:v>
      </x:c>
      <x:c r="B10" s="25" t="str">
        <x:v>等待信息</x:v>
      </x:c>
      <x:c r="C10" s="25" t="str">
        <x:v>C线</x:v>
      </x:c>
      <x:c r="D10" s="25" t="str">
        <x:v>R2环境参考</x:v>
      </x:c>
      <x:c r="E10" s="25" t="str">
        <x:v>旧“答案/36小时窗口”等内容已废止</x:v>
      </x:c>
      <x:c r="F10" s="40" t="str">
        <x:v>营地与天气氛围可参考</x:v>
      </x:c>
    </x:row>
    <x:row r="11">
      <x:c r="A11" s="41" t="str">
        <x:v>旧D0竞争者报价</x:v>
      </x:c>
      <x:c r="B11" s="42" t="str">
        <x:v>安全等待</x:v>
      </x:c>
      <x:c r="C11" s="42" t="str">
        <x:v>D线</x:v>
      </x:c>
      <x:c r="D11" s="42" t="str">
        <x:v>不复用剧情</x:v>
      </x:c>
      <x:c r="E11" s="42" t="str">
        <x:v>FINAL删去竞争者/退出变现</x:v>
      </x:c>
      <x:c r="F11" s="43" t="str">
        <x:v>只有中性营地/整理动作可参考</x:v>
      </x:c>
    </x:row>
  </x:sheetData>
  <x:pageMargins left="0.7" right="0.7" top="0.75" bottom="0.75" header="0.3" footer="0.3"/>
  <x:tableParts count="1">
    <x:tablePart xmlns:r="http://schemas.openxmlformats.org/officeDocument/2006/relationships" r:id="Rb9d62c6fe34c4c2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2" hidden="0" customWidth="1"/>
    <x:col min="4" max="4" width="42" hidden="0" customWidth="1"/>
    <x:col min="5" max="5" width="48" hidden="0" customWidth="1"/>
    <x:col min="6" max="6" width="12" hidden="0" customWidth="1"/>
  </x:cols>
  <x:sheetData>
    <x:row r="1">
      <x:c r="A1" s="59" t="str">
        <x:v>母版组</x:v>
      </x:c>
      <x:c r="B1" s="60" t="str">
        <x:v>故事空间</x:v>
      </x:c>
      <x:c r="C1" s="60" t="str">
        <x:v>适用场景</x:v>
      </x:c>
      <x:c r="D1" s="60" t="str">
        <x:v>可共用内容</x:v>
      </x:c>
      <x:c r="E1" s="60" t="str">
        <x:v>必须做变体</x:v>
      </x:c>
      <x:c r="F1" s="61" t="str">
        <x:v>级别</x:v>
      </x:c>
    </x:row>
    <x:row r="2">
      <x:c r="A2" s="39" t="str">
        <x:v>WAIT_CAMP</x:v>
      </x:c>
      <x:c r="B2" s="25" t="str">
        <x:v>营地等待母版</x:v>
      </x:c>
      <x:c r="C2" s="25" t="str">
        <x:v>C01,C02,C03,D01,D02,D03</x:v>
      </x:c>
      <x:c r="D2" s="25" t="str">
        <x:v>营地、天气变化、观察/恢复动作</x:v>
      </x:c>
      <x:c r="E2" s="25" t="str">
        <x:v>C=买信息；D=安全优先</x:v>
      </x:c>
      <x:c r="F2" s="40" t="str">
        <x:v>R1</x:v>
      </x:c>
    </x:row>
    <x:row r="3">
      <x:c r="A3" s="39" t="str">
        <x:v>MTN_NEUTRAL</x:v>
      </x:c>
      <x:c r="B3" s="25" t="str">
        <x:v>暴风峰值后中性山路</x:v>
      </x:c>
      <x:c r="C3" s="25" t="str">
        <x:v>C04M,C05,D04B</x:v>
      </x:c>
      <x:c r="D3" s="25" t="str">
        <x:v>低处山路、山脊、普通行进</x:v>
      </x:c>
      <x:c r="E3" s="25" t="str">
        <x:v>C有3天信息历史；D有5天等待/反转历史</x:v>
      </x:c>
      <x:c r="F3" s="40" t="str">
        <x:v>R1</x:v>
      </x:c>
    </x:row>
    <x:row r="4">
      <x:c r="A4" s="39" t="str">
        <x:v>MTN_LATE</x:v>
      </x:c>
      <x:c r="B4" s="25" t="str">
        <x:v>山路后段</x:v>
      </x:c>
      <x:c r="C4" s="25" t="str">
        <x:v>A04,C06,D05</x:v>
      </x:c>
      <x:c r="D4" s="25" t="str">
        <x:v>后段地貌、普通延误、观察山口</x:v>
      </x:c>
      <x:c r="E4" s="25" t="str">
        <x:v>A伤手/承诺；C信息更新；D小时级缓冲</x:v>
      </x:c>
      <x:c r="F4" s="40" t="str">
        <x:v>R1</x:v>
      </x:c>
    </x:row>
    <x:row r="5">
      <x:c r="A5" s="39" t="str">
        <x:v>VALLEY_LATE</x:v>
      </x:c>
      <x:c r="B5" s="25" t="str">
        <x:v>晚状态谷地</x:v>
      </x:c>
      <x:c r="C5" s="25" t="str">
        <x:v>A03R,C04V,B03/B04环境</x:v>
      </x:c>
      <x:c r="D5" s="25" t="str">
        <x:v>谷地行进/休整</x:v>
      </x:c>
      <x:c r="E5" s="25" t="str">
        <x:v>B从Day0进入；A/C是后期汇入</x:v>
      </x:c>
      <x:c r="F5" s="40" t="str">
        <x:v>R1</x:v>
      </x:c>
    </x:row>
    <x:row r="6">
      <x:c r="A6" s="39" t="str">
        <x:v>TOWN_SETTLE</x:v>
      </x:c>
      <x:c r="B6" s="25" t="str">
        <x:v>镇/办事地点</x:v>
      </x:c>
      <x:c r="C6" s="25" t="str">
        <x:v>X01</x:v>
      </x:c>
      <x:c r="D6" s="25" t="str">
        <x:v>接近镇与中性到达画面</x:v>
      </x:c>
      <x:c r="E6" s="25" t="str">
        <x:v>身体状态、到达时间、deadline由Web变化</x:v>
      </x:c>
      <x:c r="F6" s="40" t="str">
        <x:v>R0/R1</x:v>
      </x:c>
    </x:row>
    <x:row r="7">
      <x:c r="A7" s="41" t="str">
        <x:v>SAFE_RETURN</x:v>
      </x:c>
      <x:c r="B7" s="42" t="str">
        <x:v>安全返程</x:v>
      </x:c>
      <x:c r="C7" s="42" t="str">
        <x:v>D04A,X02,C主动退出</x:v>
      </x:c>
      <x:c r="D7" s="42" t="str">
        <x:v>真正稳定后的返程环境</x:v>
      </x:c>
      <x:c r="E7" s="42" t="str">
        <x:v>D长期等待 vs C主动退出历史不同</x:v>
      </x:c>
      <x:c r="F7" s="43" t="str">
        <x:v>R1</x:v>
      </x:c>
    </x:row>
  </x:sheetData>
  <x:pageMargins left="0.7" right="0.7" top="0.75" bottom="0.75" header="0.3" footer="0.3"/>
  <x:tableParts count="1">
    <x:tablePart xmlns:r="http://schemas.openxmlformats.org/officeDocument/2006/relationships" r:id="Rd52ada756a584b8a"/>
  </x:tableParts>
</x:worksheet>
</file>