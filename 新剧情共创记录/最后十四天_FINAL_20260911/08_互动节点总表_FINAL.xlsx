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398e5c736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总表" sheetId="1" r:id="R7c12a6b52b2c4872"/>
    <x:sheet xmlns:r="http://schemas.openxmlformats.org/officeDocument/2006/relationships" name="选项与流转" sheetId="2" r:id="R92757fa3e68d471a"/>
    <x:sheet xmlns:r="http://schemas.openxmlformats.org/officeDocument/2006/relationships" name="代表路径" sheetId="3" r:id="R64674d64e6be49a3"/>
    <x:sheet xmlns:r="http://schemas.openxmlformats.org/officeDocument/2006/relationships" name="状态字典" sheetId="4" r:id="R5fa9cab38aba49e4"/>
    <x:sheet xmlns:r="http://schemas.openxmlformats.org/officeDocument/2006/relationships" name="视频复用计划" sheetId="5" r:id="Rdac8ba483e754f79"/>
    <x:sheet xmlns:r="http://schemas.openxmlformats.org/officeDocument/2006/relationships" name="报告证据映射" sheetId="6" r:id="Rb338c76bf1b74b91"/>
    <x:sheet xmlns:r="http://schemas.openxmlformats.org/officeDocument/2006/relationships" name="总览" sheetId="7" r:id="R6ab87e8dd2d0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1" fillId="2" borderId="5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ont>
        <x:b/>
      </x:font>
      <x:fill>
        <x:patternFill>
          <x:bgColor rgb="FFEDEDE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4DFEC"/>
        </x:patternFill>
      </x:fill>
    </x:dxf>
    <x:dxf>
      <x:font>
        <x:b/>
      </x:font>
      <x:fill>
        <x:patternFill>
          <x:bgColor rgb="FFEDEDE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DDEBF7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4DFE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ff694a6054130" /><Relationship Type="http://schemas.openxmlformats.org/officeDocument/2006/relationships/theme" Target="/xl/theme/theme1.xml" Id="Rb0b6e84404ce4f80" /><Relationship Type="http://schemas.openxmlformats.org/officeDocument/2006/relationships/sharedStrings" Target="/xl/sharedStrings.xml" Id="R6f9f22fc7b194f39" /><Relationship Type="http://schemas.openxmlformats.org/officeDocument/2006/relationships/worksheet" Target="/xl/worksheets/sheet1.xml" Id="R7c12a6b52b2c4872" /><Relationship Type="http://schemas.openxmlformats.org/officeDocument/2006/relationships/worksheet" Target="/xl/worksheets/sheet2.xml" Id="R92757fa3e68d471a" /><Relationship Type="http://schemas.openxmlformats.org/officeDocument/2006/relationships/worksheet" Target="/xl/worksheets/sheet3.xml" Id="R64674d64e6be49a3" /><Relationship Type="http://schemas.openxmlformats.org/officeDocument/2006/relationships/worksheet" Target="/xl/worksheets/sheet4.xml" Id="R5fa9cab38aba49e4" /><Relationship Type="http://schemas.openxmlformats.org/officeDocument/2006/relationships/worksheet" Target="/xl/worksheets/sheet5.xml" Id="Rdac8ba483e754f79" /><Relationship Type="http://schemas.openxmlformats.org/officeDocument/2006/relationships/worksheet" Target="/xl/worksheets/sheet6.xml" Id="Rb338c76bf1b74b91" /><Relationship Type="http://schemas.openxmlformats.org/officeDocument/2006/relationships/worksheet" Target="/xl/worksheets/sheet7.xml" Id="R6ab87e8dd2d04139" /></Relationships>
</file>

<file path=xl/tables/table1.xml><?xml version="1.0" encoding="utf-8"?>
<x:table xmlns:x="http://schemas.openxmlformats.org/spreadsheetml/2006/main" id="1" name="NodesTable" displayName="NodesTable" ref="A1:T34" headerRowCount="1" totalsRowCount="0" totalsRowShown="0">
  <x:tableColumns count="20">
    <x:tableColumn id="1" name="节点ID"/>
    <x:tableColumn id="2" name="路线"/>
    <x:tableColumn id="3" name="节点名称"/>
    <x:tableColumn id="4" name="类型"/>
    <x:tableColumn id="5" name="时间"/>
    <x:tableColumn id="6" name="地点"/>
    <x:tableColumn id="7" name="进入条件"/>
    <x:tableColumn id="8" name="学生可见事实"/>
    <x:tableColumn id="9" name="剧情/行动任务"/>
    <x:tableColumn id="10" name="决策问题"/>
    <x:tableColumn id="11" name="选项数"/>
    <x:tableColumn id="12" name="理由记录"/>
    <x:tableColumn id="13" name="直接作用/后果"/>
    <x:tableColumn id="14" name="状态继承/更新"/>
    <x:tableColumn id="15" name="下一节点"/>
    <x:tableColumn id="16" name="报告证据"/>
    <x:tableColumn id="17" name="复用级别"/>
    <x:tableColumn id="18" name="场景组"/>
    <x:tableColumn id="19" name="依据文档"/>
    <x:tableColumn id="20" name="制作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tionsTable" displayName="OptionsTable" ref="A1:L29" headerRowCount="1" totalsRowCount="0" totalsRowShown="0">
  <x:tableColumns count="12">
    <x:tableColumn id="1" name="选项ID"/>
    <x:tableColumn id="2" name="来源节点"/>
    <x:tableColumn id="3" name="路线"/>
    <x:tableColumn id="4" name="最终按钮文案"/>
    <x:tableColumn id="5" name="理性依据"/>
    <x:tableColumn id="6" name="优先目标"/>
    <x:tableColumn id="7" name="明确代价"/>
    <x:tableColumn id="8" name="时间/结果"/>
    <x:tableColumn id="9" name="状态更新"/>
    <x:tableColumn id="10" name="下一节点"/>
    <x:tableColumn id="11" name="报告标签"/>
    <x:tableColumn id="12" name="理由记录提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thsTable" displayName="PathsTable" ref="A1:I19" headerRowCount="1" totalsRowCount="0" totalsRowShown="0">
  <x:tableColumns count="9">
    <x:tableColumn id="1" name="路径ID"/>
    <x:tableColumn id="2" name="路径名称"/>
    <x:tableColumn id="3" name="选择序列"/>
    <x:tableColumn id="4" name="完成/返程时间"/>
    <x:tableColumn id="5" name="期限结果"/>
    <x:tableColumn id="6" name="人员/能力状态"/>
    <x:tableColumn id="7" name="核心取舍"/>
    <x:tableColumn id="8" name="推荐复盘问题"/>
    <x:tableColumn id="9" name="结算节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sTable" displayName="StatesTable" ref="A1:G13" headerRowCount="1" totalsRowCount="0" totalsRowShown="0">
  <x:tableColumns count="7">
    <x:tableColumn id="1" name="状态字段"/>
    <x:tableColumn id="2" name="含义"/>
    <x:tableColumn id="3" name="类型"/>
    <x:tableColumn id="4" name="允许值/示例"/>
    <x:tableColumn id="5" name="主要更新节点"/>
    <x:tableColumn id="6" name="是否学生可见"/>
    <x:tableColumn id="7" name="用途/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useTable" displayName="ReuseTable" ref="A1:G15" headerRowCount="1" totalsRowCount="0" totalsRowShown="0">
  <x:tableColumns count="7">
    <x:tableColumn id="1" name="场景组"/>
    <x:tableColumn id="2" name="故事空间"/>
    <x:tableColumn id="3" name="对应节点"/>
    <x:tableColumn id="4" name="复用方式"/>
    <x:tableColumn id="5" name="可共用内容"/>
    <x:tableColumn id="6" name="必须做变体的事实"/>
    <x:tableColumn id="7" name="禁止写死/注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rtMapTable" displayName="ReportMapTable" ref="A1:F16" headerRowCount="1" totalsRowCount="0" totalsRowShown="0">
  <x:tableColumns count="6">
    <x:tableColumn id="1" name="报告标签"/>
    <x:tableColumn id="2" name="证据节点/选项"/>
    <x:tableColumn id="3" name="报告位置"/>
    <x:tableColumn id="4" name="推荐复盘问题/写法"/>
    <x:tableColumn id="5" name="课程关联"/>
    <x:tableColumn id="6" name="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3963591b814b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adfd31502146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0d07b2b0554f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4247367f2a44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fd98aaebb6f43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7788e2ce85f463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10" hidden="0" customWidth="1"/>
    <x:col min="5" max="5" width="18" hidden="0" customWidth="1"/>
    <x:col min="6" max="6" width="20" hidden="0" customWidth="1"/>
    <x:col min="7" max="7" width="34" hidden="0" customWidth="1"/>
    <x:col min="8" max="8" width="42" hidden="0" customWidth="1"/>
    <x:col min="9" max="9" width="46" hidden="0" customWidth="1"/>
    <x:col min="10" max="10" width="32" hidden="0" customWidth="1"/>
    <x:col min="11" max="11" width="8" hidden="0" customWidth="1"/>
    <x:col min="12" max="12" width="30" hidden="0" customWidth="1"/>
    <x:col min="13" max="13" width="40" hidden="0" customWidth="1"/>
    <x:col min="14" max="14" width="42" hidden="0" customWidth="1"/>
    <x:col min="15" max="15" width="26" hidden="0" customWidth="1"/>
    <x:col min="16" max="16" width="34" hidden="0" customWidth="1"/>
    <x:col min="17" max="17" width="16" hidden="0" customWidth="1"/>
    <x:col min="18" max="18" width="18" hidden="0" customWidth="1"/>
    <x:col min="19" max="19" width="30" hidden="0" customWidth="1"/>
    <x:col min="20" max="20" width="22" hidden="0" customWidth="1"/>
  </x:cols>
  <x:sheetData>
    <x:row r="1">
      <x:c r="A1" s="16" t="str">
        <x:v>节点ID</x:v>
      </x:c>
      <x:c r="B1" s="17" t="str">
        <x:v>路线</x:v>
      </x:c>
      <x:c r="C1" s="17" t="str">
        <x:v>节点名称</x:v>
      </x:c>
      <x:c r="D1" s="17" t="str">
        <x:v>类型</x:v>
      </x:c>
      <x:c r="E1" s="17" t="str">
        <x:v>时间</x:v>
      </x:c>
      <x:c r="F1" s="17" t="str">
        <x:v>地点</x:v>
      </x:c>
      <x:c r="G1" s="17" t="str">
        <x:v>进入条件</x:v>
      </x:c>
      <x:c r="H1" s="17" t="str">
        <x:v>学生可见事实</x:v>
      </x:c>
      <x:c r="I1" s="17" t="str">
        <x:v>剧情/行动任务</x:v>
      </x:c>
      <x:c r="J1" s="17" t="str">
        <x:v>决策问题</x:v>
      </x:c>
      <x:c r="K1" s="17" t="str">
        <x:v>选项数</x:v>
      </x:c>
      <x:c r="L1" s="17" t="str">
        <x:v>理由记录</x:v>
      </x:c>
      <x:c r="M1" s="17" t="str">
        <x:v>直接作用/后果</x:v>
      </x:c>
      <x:c r="N1" s="17" t="str">
        <x:v>状态继承/更新</x:v>
      </x:c>
      <x:c r="O1" s="17" t="str">
        <x:v>下一节点</x:v>
      </x:c>
      <x:c r="P1" s="17" t="str">
        <x:v>报告证据</x:v>
      </x:c>
      <x:c r="Q1" s="17" t="str">
        <x:v>复用级别</x:v>
      </x:c>
      <x:c r="R1" s="17" t="str">
        <x:v>场景组</x:v>
      </x:c>
      <x:c r="S1" s="17" t="str">
        <x:v>依据文档</x:v>
      </x:c>
      <x:c r="T1" s="18" t="str">
        <x:v>制作状态</x:v>
      </x:c>
    </x:row>
    <x:row r="2">
      <x:c r="A2" s="19" t="str">
        <x:v>P01</x:v>
      </x:c>
      <x:c r="B2" s="13" t="str">
        <x:v>公共</x:v>
      </x:c>
      <x:c r="C2" s="13" t="str">
        <x:v>找到了</x:v>
      </x:c>
      <x:c r="D2" s="13" t="str">
        <x:v>剧情</x:v>
      </x:c>
      <x:c r="E2" s="13" t="str">
        <x:v>Day 0 · 09:00</x:v>
      </x:c>
      <x:c r="F2" s="13" t="str">
        <x:v>勘探营地帐篷</x:v>
      </x:c>
      <x:c r="G2" s="13" t="str">
        <x:v>开局</x:v>
      </x:c>
      <x:c r="H2" s="13" t="str">
        <x:v>发现看来质量很高的金矿；玩家左手受伤、偶尔无力</x:v>
      </x:c>
      <x:c r="I2" s="13" t="str">
        <x:v>沈岚带回矿石，建立“机会是真的，但能力有边界”</x:v>
      </x:c>
      <x:c r="J2" s="13" t="str"/>
      <x:c r="K2" s="13" t="n">
        <x:v>0</x:v>
      </x:c>
      <x:c r="L2" s="13" t="str">
        <x:v>不收集</x:v>
      </x:c>
      <x:c r="M2" s="13" t="str">
        <x:v>建立机会价值与伤手基线</x:v>
      </x:c>
      <x:c r="N2" s="13" t="str">
        <x:v>day=0；hand=不稳定；info=发现机会</x:v>
      </x:c>
      <x:c r="O2" s="13" t="str">
        <x:v>P02</x:v>
      </x:c>
      <x:c r="P2" s="13" t="str">
        <x:v>初始机会、能力边界</x:v>
      </x:c>
      <x:c r="Q2" s="13" t="str">
        <x:v>既有可复用</x:v>
      </x:c>
      <x:c r="R2" s="13" t="str">
        <x:v>CAMP_OPEN</x:v>
      </x:c>
      <x:c r="S2" s="13" t="str">
        <x:v>04_完整文字剧情_FINAL / 原案</x:v>
      </x:c>
      <x:c r="T2" s="20" t="str">
        <x:v>已有素材·待事实审核</x:v>
      </x:c>
    </x:row>
    <x:row r="3">
      <x:c r="A3" s="19" t="str">
        <x:v>P02</x:v>
      </x:c>
      <x:c r="B3" s="13" t="str">
        <x:v>公共</x:v>
      </x:c>
      <x:c r="C3" s="13" t="str">
        <x:v>十四天</x:v>
      </x:c>
      <x:c r="D3" s="13" t="str">
        <x:v>剧情</x:v>
      </x:c>
      <x:c r="E3" s="13" t="str">
        <x:v>Day 0 · 09:00</x:v>
      </x:c>
      <x:c r="F3" s="13" t="str">
        <x:v>勘探营地帐篷</x:v>
      </x:c>
      <x:c r="G3" s="13" t="str">
        <x:v>P01完成</x:v>
      </x:c>
      <x:c r="H3" s="13" t="str">
        <x:v>土地尚未买下；期权只剩14天；持有人本人必须在截止前到指定办事地点完成最后确认；队友不能代办，远程确认不能替代本人到场；超期后地主可能重新处置；资金有限</x:v>
      </x:c>
      <x:c r="I3" s="13" t="str">
        <x:v>沈岚说明期限、本人到场要求与机会失去风险；明确这是故事内办理规则，不解释现实法律细节</x:v>
      </x:c>
      <x:c r="J3" s="13" t="str"/>
      <x:c r="K3" s="13" t="n">
        <x:v>0</x:v>
      </x:c>
      <x:c r="L3" s="13" t="str">
        <x:v>不收集</x:v>
      </x:c>
      <x:c r="M3" s="13" t="str">
        <x:v>建立统一目标与时间压力，并封闭远程/代办捷径</x:v>
      </x:c>
      <x:c r="N3" s="13" t="str">
        <x:v>deadline=open；buffer=14天；must_return_in_person=true</x:v>
      </x:c>
      <x:c r="O3" s="13" t="str">
        <x:v>P03</x:v>
      </x:c>
      <x:c r="P3" s="13" t="str">
        <x:v>目标、期限、机会成本</x:v>
      </x:c>
      <x:c r="Q3" s="13" t="str">
        <x:v>既有可复用</x:v>
      </x:c>
      <x:c r="R3" s="13" t="str">
        <x:v>CAMP_OPEN</x:v>
      </x:c>
      <x:c r="S3" s="13" t="str">
        <x:v>02_教师原案事实与改编边界_FINAL + 13_FINAL一致性收口与封版说明</x:v>
      </x:c>
      <x:c r="T3" s="20" t="str">
        <x:v>FINAL一致性收口通过</x:v>
      </x:c>
    </x:row>
    <x:row r="4">
      <x:c r="A4" s="19" t="str">
        <x:v>P03</x:v>
      </x:c>
      <x:c r="B4" s="13" t="str">
        <x:v>公共</x:v>
      </x:c>
      <x:c r="C4" s="13" t="str">
        <x:v>两条路</x:v>
      </x:c>
      <x:c r="D4" s="13" t="str">
        <x:v>剧情</x:v>
      </x:c>
      <x:c r="E4" s="13" t="str">
        <x:v>Day 0 · 09:00</x:v>
      </x:c>
      <x:c r="F4" s="13" t="str">
        <x:v>勘探营地帐篷</x:v>
      </x:c>
      <x:c r="G4" s="13" t="str">
        <x:v>P02完成</x:v>
      </x:c>
      <x:c r="H4" s="13" t="str">
        <x:v>翻山通常7—10天，快但危险；谷地通常2—3周，风险较低但慢且疲惫</x:v>
      </x:c>
      <x:c r="I4" s="13" t="str">
        <x:v>老周指地图解释两条地理路线，不推荐答案</x:v>
      </x:c>
      <x:c r="J4" s="13" t="str"/>
      <x:c r="K4" s="13" t="n">
        <x:v>0</x:v>
      </x:c>
      <x:c r="L4" s="13" t="str">
        <x:v>不收集</x:v>
      </x:c>
      <x:c r="M4" s="13" t="str">
        <x:v>建立速度—风险基本权衡</x:v>
      </x:c>
      <x:c r="N4" s="13" t="str">
        <x:v>info=路线时间/风险</x:v>
      </x:c>
      <x:c r="O4" s="13" t="str">
        <x:v>P04</x:v>
      </x:c>
      <x:c r="P4" s="13" t="str">
        <x:v>初始方案比较</x:v>
      </x:c>
      <x:c r="Q4" s="13" t="str">
        <x:v>既有可复用</x:v>
      </x:c>
      <x:c r="R4" s="13" t="str">
        <x:v>CAMP_ROUTE</x:v>
      </x:c>
      <x:c r="S4" s="13" t="str">
        <x:v>04_完整文字剧情_FINAL / 原案</x:v>
      </x:c>
      <x:c r="T4" s="20" t="str">
        <x:v>已有素材·待事实审核</x:v>
      </x:c>
    </x:row>
    <x:row r="5">
      <x:c r="A5" s="19" t="str">
        <x:v>P04</x:v>
      </x:c>
      <x:c r="B5" s="13" t="str">
        <x:v>公共</x:v>
      </x:c>
      <x:c r="C5" s="13" t="str">
        <x:v>还不知道的天气</x:v>
      </x:c>
      <x:c r="D5" s="13" t="str">
        <x:v>剧情</x:v>
      </x:c>
      <x:c r="E5" s="13" t="str">
        <x:v>Day 0 · 09:00</x:v>
      </x:c>
      <x:c r="F5" s="13" t="str">
        <x:v>勘探营地帐篷</x:v>
      </x:c>
      <x:c r="G5" s="13" t="str">
        <x:v>P03完成</x:v>
      </x:c>
      <x:c r="H5" s="13" t="str">
        <x:v>当前天气尚可；48小时内可确认暴风；若有暴风，再等约1天可进一步判断山路</x:v>
      </x:c>
      <x:c r="I5" s="13" t="str">
        <x:v>风声与角色对白建立“信息可以等待，但时间会流失”</x:v>
      </x:c>
      <x:c r="J5" s="13" t="str"/>
      <x:c r="K5" s="13" t="n">
        <x:v>0</x:v>
      </x:c>
      <x:c r="L5" s="13" t="str">
        <x:v>不收集</x:v>
      </x:c>
      <x:c r="M5" s="13" t="str">
        <x:v>建立信息不确定性</x:v>
      </x:c>
      <x:c r="N5" s="13" t="str">
        <x:v>info=天气基础；weather=未知</x:v>
      </x:c>
      <x:c r="O5" s="13" t="str">
        <x:v>P05</x:v>
      </x:c>
      <x:c r="P5" s="13" t="str">
        <x:v>信息价值、等待成本</x:v>
      </x:c>
      <x:c r="Q5" s="13" t="str">
        <x:v>既有可复用</x:v>
      </x:c>
      <x:c r="R5" s="13" t="str">
        <x:v>CAMP_WEATHER</x:v>
      </x:c>
      <x:c r="S5" s="13" t="str">
        <x:v>04_完整文字剧情_FINAL / 原案</x:v>
      </x:c>
      <x:c r="T5" s="20" t="str">
        <x:v>已有素材·待事实审核</x:v>
      </x:c>
    </x:row>
    <x:row r="6">
      <x:c r="A6" s="19" t="str">
        <x:v>P05</x:v>
      </x:c>
      <x:c r="B6" s="13" t="str">
        <x:v>公共</x:v>
      </x:c>
      <x:c r="C6" s="13" t="str">
        <x:v>左手</x:v>
      </x:c>
      <x:c r="D6" s="13" t="str">
        <x:v>剧情</x:v>
      </x:c>
      <x:c r="E6" s="13" t="str">
        <x:v>Day 0 · 09:00</x:v>
      </x:c>
      <x:c r="F6" s="13" t="str">
        <x:v>勘探营地帐篷</x:v>
      </x:c>
      <x:c r="G6" s="13" t="str">
        <x:v>P04完成</x:v>
      </x:c>
      <x:c r="H6" s="13" t="str">
        <x:v>左手不是持续失能，但真失力时无法控制</x:v>
      </x:c>
      <x:c r="I6" s="13" t="str">
        <x:v>阿杰检查左手；只把它作为能力边界，不提前宣判失败</x:v>
      </x:c>
      <x:c r="J6" s="13" t="str"/>
      <x:c r="K6" s="13" t="n">
        <x:v>0</x:v>
      </x:c>
      <x:c r="L6" s="13" t="str">
        <x:v>不收集</x:v>
      </x:c>
      <x:c r="M6" s="13" t="str">
        <x:v>把资源/能力约束具体化</x:v>
      </x:c>
      <x:c r="N6" s="13" t="str">
        <x:v>hand=不稳定</x:v>
      </x:c>
      <x:c r="O6" s="13" t="str">
        <x:v>P06</x:v>
      </x:c>
      <x:c r="P6" s="13" t="str">
        <x:v>自身能力、生命价值</x:v>
      </x:c>
      <x:c r="Q6" s="13" t="str">
        <x:v>既有可复用</x:v>
      </x:c>
      <x:c r="R6" s="13" t="str">
        <x:v>CAMP_HAND</x:v>
      </x:c>
      <x:c r="S6" s="13" t="str">
        <x:v>04_完整文字剧情_FINAL / 原案</x:v>
      </x:c>
      <x:c r="T6" s="20" t="str">
        <x:v>已有素材·待事实审核</x:v>
      </x:c>
    </x:row>
    <x:row r="7">
      <x:c r="A7" s="19" t="str">
        <x:v>P06</x:v>
      </x:c>
      <x:c r="B7" s="13" t="str">
        <x:v>公共</x:v>
      </x:c>
      <x:c r="C7" s="13" t="str">
        <x:v>第一次决定</x:v>
      </x:c>
      <x:c r="D7" s="13" t="str">
        <x:v>决策</x:v>
      </x:c>
      <x:c r="E7" s="13" t="str">
        <x:v>Day 0 · 09:00</x:v>
      </x:c>
      <x:c r="F7" s="13" t="str">
        <x:v>勘探营地帐篷</x:v>
      </x:c>
      <x:c r="G7" s="13" t="str">
        <x:v>P05完成</x:v>
      </x:c>
      <x:c r="H7" s="13" t="str">
        <x:v>机会、期限、路线、天气、伤手均已知</x:v>
      </x:c>
      <x:c r="I7" s="13" t="str">
        <x:v>沈岚：“队长，决定吧。”</x:v>
      </x:c>
      <x:c r="J7" s="13" t="str">
        <x:v>四个原始战略起点；D使用“天气好转后安全返回”</x:v>
      </x:c>
      <x:c r="K7" s="13" t="n">
        <x:v>4</x:v>
      </x:c>
      <x:c r="L7" s="13" t="str">
        <x:v>必收：最看重什么？时间 / 可控性 / 信息 / 安全 / 其他短句</x:v>
      </x:c>
      <x:c r="M7" s="13" t="str">
        <x:v>确定第一项战略承诺</x:v>
      </x:c>
      <x:c r="N7" s="13" t="str">
        <x:v>记录initial_route与initial_priority</x:v>
      </x:c>
      <x:c r="O7" s="13" t="str">
        <x:v>A01 / B01 / C01 / D01</x:v>
      </x:c>
      <x:c r="P7" s="13" t="str">
        <x:v>最初想保什么；初始假设</x:v>
      </x:c>
      <x:c r="Q7" s="13" t="str">
        <x:v>既有可复用</x:v>
      </x:c>
      <x:c r="R7" s="13" t="str">
        <x:v>CAMP_DECISION</x:v>
      </x:c>
      <x:c r="S7" s="13" t="str">
        <x:v>04_完整文字剧情_FINAL + 09_P06_A线_FINAL</x:v>
      </x:c>
      <x:c r="T7" s="20" t="str">
        <x:v>交互文案/对白已定稿</x:v>
      </x:c>
    </x:row>
    <x:row r="8">
      <x:c r="A8" s="19" t="str">
        <x:v>A01</x:v>
      </x:c>
      <x:c r="B8" s="13" t="str">
        <x:v>A</x:v>
      </x:c>
      <x:c r="C8" s="13" t="str">
        <x:v>这次下注真的有回报</x:v>
      </x:c>
      <x:c r="D8" s="13" t="str">
        <x:v>剧情</x:v>
      </x:c>
      <x:c r="E8" s="13" t="str">
        <x:v>Day 2 · 上午</x:v>
      </x:c>
      <x:c r="F8" s="13" t="str">
        <x:v>山路前段</x:v>
      </x:c>
      <x:c r="G8" s="13" t="str">
        <x:v>P06选择A</x:v>
      </x:c>
      <x:c r="H8" s="13" t="str">
        <x:v>前两天推进顺利；明显获得时间优势</x:v>
      </x:c>
      <x:c r="I8" s="13" t="str">
        <x:v>让玩家先获得“风险确实买到了时间”的正反馈</x:v>
      </x:c>
      <x:c r="J8" s="13" t="str"/>
      <x:c r="K8" s="13" t="n">
        <x:v>0</x:v>
      </x:c>
      <x:c r="L8" s="13" t="str">
        <x:v>不收集</x:v>
      </x:c>
      <x:c r="M8" s="13" t="str">
        <x:v>验证初始战略有合理收益</x:v>
      </x:c>
      <x:c r="N8" s="13" t="str">
        <x:v>route=A；commitment=中；buffer=宽</x:v>
      </x:c>
      <x:c r="O8" s="13" t="str">
        <x:v>A02</x:v>
      </x:c>
      <x:c r="P8" s="13" t="str">
        <x:v>风险换时间</x:v>
      </x:c>
      <x:c r="Q8" s="13" t="str">
        <x:v>路线专属</x:v>
      </x:c>
      <x:c r="R8" s="13" t="str">
        <x:v>MTN_EARLY</x:v>
      </x:c>
      <x:c r="S8" s="13" t="str">
        <x:v>04_完整文字剧情_FINAL</x:v>
      </x:c>
      <x:c r="T8" s="20" t="str">
        <x:v>剧情锁定·待对白逐镜</x:v>
      </x:c>
    </x:row>
    <x:row r="9">
      <x:c r="A9" s="19" t="str">
        <x:v>A02</x:v>
      </x:c>
      <x:c r="B9" s="13" t="str">
        <x:v>A</x:v>
      </x:c>
      <x:c r="C9" s="13" t="str">
        <x:v>风险变了</x:v>
      </x:c>
      <x:c r="D9" s="13" t="str">
        <x:v>决策</x:v>
      </x:c>
      <x:c r="E9" s="13" t="str">
        <x:v>Day 3 · 12:00左右</x:v>
      </x:c>
      <x:c r="F9" s="13" t="str">
        <x:v>高地雪坡/背风岩壁附近</x:v>
      </x:c>
      <x:c r="G9" s="13" t="str">
        <x:v>A01完成</x:v>
      </x:c>
      <x:c r="H9" s="13" t="str">
        <x:v>高地暴风增强；山口仍可见；左手刚失力；附近有可避风位置</x:v>
      </x:c>
      <x:c r="I9" s="13" t="str">
        <x:v>风险从“可能”变成现实，且选项前给足事实</x:v>
      </x:c>
      <x:c r="J9" s="13" t="str">
        <x:v>原来的风险已经变了，现在怎么做？</x:v>
      </x:c>
      <x:c r="K9" s="13" t="n">
        <x:v>3</x:v>
      </x:c>
      <x:c r="L9" s="13" t="str">
        <x:v>建议收：此刻最重要的是？期限 / 人员状态 / 不愿继续增加风险 / 其他</x:v>
      </x:c>
      <x:c r="M9" s="13" t="str">
        <x:v>形成A线第一次再判断</x:v>
      </x:c>
      <x:c r="N9" s="13" t="str">
        <x:v>根据选项写入a2_history；改变hand/buffer/commitment</x:v>
      </x:c>
      <x:c r="O9" s="13" t="str">
        <x:v>A03A / A03B / A03R</x:v>
      </x:c>
      <x:c r="P9" s="13" t="str">
        <x:v>原风险假设是否仍成立</x:v>
      </x:c>
      <x:c r="Q9" s="13" t="str">
        <x:v>路线专属</x:v>
      </x:c>
      <x:c r="R9" s="13" t="str">
        <x:v>MTN_STORM</x:v>
      </x:c>
      <x:c r="S9" s="13" t="str">
        <x:v>04_完整文字剧情_FINAL + 09_P06_A线_FINAL</x:v>
      </x:c>
      <x:c r="T9" s="20" t="str">
        <x:v>交互文案/对白已定稿</x:v>
      </x:c>
    </x:row>
    <x:row r="10">
      <x:c r="A10" s="19" t="str">
        <x:v>A03A</x:v>
      </x:c>
      <x:c r="B10" s="13" t="str">
        <x:v>A</x:v>
      </x:c>
      <x:c r="C10" s="13" t="str">
        <x:v>继续后的账单</x:v>
      </x:c>
      <x:c r="D10" s="13" t="str">
        <x:v>剧情</x:v>
      </x:c>
      <x:c r="E10" s="13" t="str">
        <x:v>Day 4 · 18:00左右</x:v>
      </x:c>
      <x:c r="F10" s="13" t="str">
        <x:v>山路中后段</x:v>
      </x:c>
      <x:c r="G10" s="13" t="str">
        <x:v>A02选择继续推进</x:v>
      </x:c>
      <x:c r="H10" s="13" t="str">
        <x:v>时间优势仍在；左手已不能再按“偶尔失力”处理</x:v>
      </x:c>
      <x:c r="I10" s="13" t="str">
        <x:v>队伍重新分工：老周承担更多安全动作，沈岚分担负重，阿杰加强照看</x:v>
      </x:c>
      <x:c r="J10" s="13" t="str"/>
      <x:c r="K10" s="13" t="n">
        <x:v>0</x:v>
      </x:c>
      <x:c r="L10" s="13" t="str">
        <x:v>不收集</x:v>
      </x:c>
      <x:c r="M10" s="13" t="str">
        <x:v>把“继续推进”的代价落到执行能力</x:v>
      </x:c>
      <x:c r="N10" s="13" t="str">
        <x:v>hand=受限；fatigue=上升；commitment=高；buffer=仍较宽</x:v>
      </x:c>
      <x:c r="O10" s="13" t="str">
        <x:v>A04</x:v>
      </x:c>
      <x:c r="P10" s="13" t="str">
        <x:v>承诺升级、执行能力</x:v>
      </x:c>
      <x:c r="Q10" s="13" t="str">
        <x:v>母版+变体</x:v>
      </x:c>
      <x:c r="R10" s="13" t="str">
        <x:v>MTN_LATE</x:v>
      </x:c>
      <x:c r="S10" s="13" t="str">
        <x:v>04_完整文字剧情_FINAL + 09_P06_A线_FINAL</x:v>
      </x:c>
      <x:c r="T10" s="20" t="str">
        <x:v>交互文案/对白已定稿</x:v>
      </x:c>
    </x:row>
    <x:row r="11">
      <x:c r="A11" s="19" t="str">
        <x:v>A03B</x:v>
      </x:c>
      <x:c r="B11" s="13" t="str">
        <x:v>A</x:v>
      </x:c>
      <x:c r="C11" s="13" t="str">
        <x:v>暂避后的账单</x:v>
      </x:c>
      <x:c r="D11" s="13" t="str">
        <x:v>剧情</x:v>
      </x:c>
      <x:c r="E11" s="13" t="str">
        <x:v>Day 5 · 12:00左右</x:v>
      </x:c>
      <x:c r="F11" s="13" t="str">
        <x:v>背风处→山路中后段</x:v>
      </x:c>
      <x:c r="G11" s="13" t="str">
        <x:v>A02选择暂避</x:v>
      </x:c>
      <x:c r="H11" s="13" t="str">
        <x:v>最差天气已过；人员状态更稳；约两天时间缓冲已经花掉</x:v>
      </x:c>
      <x:c r="I11" s="13" t="str">
        <x:v>重新出发，明确“安全换掉了时间宽裕”</x:v>
      </x:c>
      <x:c r="J11" s="13" t="str"/>
      <x:c r="K11" s="13" t="n">
        <x:v>0</x:v>
      </x:c>
      <x:c r="L11" s="13" t="str">
        <x:v>不收集</x:v>
      </x:c>
      <x:c r="M11" s="13" t="str">
        <x:v>把暂避的收益与时间成本同时兑现</x:v>
      </x:c>
      <x:c r="N11" s="13" t="str">
        <x:v>hand=较稳；buffer=变窄；a2_history=shelter</x:v>
      </x:c>
      <x:c r="O11" s="13" t="str">
        <x:v>A04</x:v>
      </x:c>
      <x:c r="P11" s="13" t="str">
        <x:v>缓冲价值、风险调整</x:v>
      </x:c>
      <x:c r="Q11" s="13" t="str">
        <x:v>母版+变体</x:v>
      </x:c>
      <x:c r="R11" s="13" t="str">
        <x:v>MTN_LATE</x:v>
      </x:c>
      <x:c r="S11" s="13" t="str">
        <x:v>04_完整文字剧情_FINAL + 09_P06_A线_FINAL</x:v>
      </x:c>
      <x:c r="T11" s="20" t="str">
        <x:v>交互文案/对白已定稿</x:v>
      </x:c>
    </x:row>
    <x:row r="12">
      <x:c r="A12" s="19" t="str">
        <x:v>A03R</x:v>
      </x:c>
      <x:c r="B12" s="13" t="str">
        <x:v>A</x:v>
      </x:c>
      <x:c r="C12" s="13" t="str">
        <x:v>撤回转谷地</x:v>
      </x:c>
      <x:c r="D12" s="13" t="str">
        <x:v>过渡</x:v>
      </x:c>
      <x:c r="E12" s="13" t="str">
        <x:v>Day 3或Day 5—6后</x:v>
      </x:c>
      <x:c r="F12" s="13" t="str">
        <x:v>山路撤回→谷地方向</x:v>
      </x:c>
      <x:c r="G12" s="13" t="str">
        <x:v>A02选择撤回，或A04后期撤回</x:v>
      </x:c>
      <x:c r="H12" s="13" t="str">
        <x:v>已经投入的时间无法收回；转谷地后原14天窗口基本不可恢复</x:v>
      </x:c>
      <x:c r="I12" s="13" t="str">
        <x:v>表现撤回不是“重置到B线开头”；进入较晚状态的谷地故事空间</x:v>
      </x:c>
      <x:c r="J12" s="13" t="str"/>
      <x:c r="K12" s="13" t="n">
        <x:v>0</x:v>
      </x:c>
      <x:c r="L12" s="13" t="str">
        <x:v>不收集</x:v>
      </x:c>
      <x:c r="M12" s="13" t="str">
        <x:v>兑现止损，同时保留历史代价</x:v>
      </x:c>
      <x:c r="N12" s="13" t="str">
        <x:v>route_history=A&gt;撤回&gt;谷地；deadline=基本失去；late_retreat标记</x:v>
      </x:c>
      <x:c r="O12" s="13" t="str">
        <x:v>X01</x:v>
      </x:c>
      <x:c r="P12" s="13" t="str">
        <x:v>止损、不可逆性、已投入成本</x:v>
      </x:c>
      <x:c r="Q12" s="13" t="str">
        <x:v>母版+变体</x:v>
      </x:c>
      <x:c r="R12" s="13" t="str">
        <x:v>VALLEY_LATE</x:v>
      </x:c>
      <x:c r="S12" s="13" t="str">
        <x:v>04_完整文字剧情_FINAL / 实现拆分</x:v>
      </x:c>
      <x:c r="T12" s="20" t="str">
        <x:v>剧情锁定·待转场设计</x:v>
      </x:c>
    </x:row>
    <x:row r="13">
      <x:c r="A13" s="19" t="str">
        <x:v>A04</x:v>
      </x:c>
      <x:c r="B13" s="13" t="str">
        <x:v>A</x:v>
      </x:c>
      <x:c r="C13" s="13" t="str">
        <x:v>最后的回头点</x:v>
      </x:c>
      <x:c r="D13" s="13" t="str">
        <x:v>决策</x:v>
      </x:c>
      <x:c r="E13" s="13" t="str">
        <x:v>约Day 5—6</x:v>
      </x:c>
      <x:c r="F13" s="13" t="str">
        <x:v>山路后段/最后明显可折返位置</x:v>
      </x:c>
      <x:c r="G13" s="13" t="str">
        <x:v>A03A或A03B完成</x:v>
      </x:c>
      <x:c r="H13" s="13" t="str">
        <x:v>强行推进者：伤手更差但时间更宽；暂避者：身体更稳但时间更紧；撤回代价已显著上升</x:v>
      </x:c>
      <x:c r="I13" s="13" t="str">
        <x:v>同一地点根据前情给不同进入句，不能清零历史</x:v>
      </x:c>
      <x:c r="J13" s="13" t="str">
        <x:v>继续当前山路，还是调整/撤回？</x:v>
      </x:c>
      <x:c r="K13" s="13" t="n">
        <x:v>3</x:v>
      </x:c>
      <x:c r="L13" s="13" t="str">
        <x:v>不再单独收集；沿用A02理由并记录是否反转</x:v>
      </x:c>
      <x:c r="M13" s="13" t="str">
        <x:v>决定是否把山路承诺执行到底</x:v>
      </x:c>
      <x:c r="N13" s="13" t="str">
        <x:v>选项决定arrival_time、人员状态或进入A03R</x:v>
      </x:c>
      <x:c r="O13" s="13" t="str">
        <x:v>X01 或 A03R</x:v>
      </x:c>
      <x:c r="P13" s="13" t="str">
        <x:v>已投入很多是否构成继续理由</x:v>
      </x:c>
      <x:c r="Q13" s="13" t="str">
        <x:v>母版+变体</x:v>
      </x:c>
      <x:c r="R13" s="13" t="str">
        <x:v>MTN_LATE</x:v>
      </x:c>
      <x:c r="S13" s="13" t="str">
        <x:v>04_完整文字剧情_FINAL + 09_P06_A线_FINAL</x:v>
      </x:c>
      <x:c r="T13" s="20" t="str">
        <x:v>交互文案/对白已定稿</x:v>
      </x:c>
    </x:row>
    <x:row r="14">
      <x:c r="A14" s="19" t="str">
        <x:v>B01</x:v>
      </x:c>
      <x:c r="B14" s="13" t="str">
        <x:v>B</x:v>
      </x:c>
      <x:c r="C14" s="13" t="str">
        <x:v>这条路确实更稳</x:v>
      </x:c>
      <x:c r="D14" s="13" t="str">
        <x:v>剧情</x:v>
      </x:c>
      <x:c r="E14" s="13" t="str">
        <x:v>Day 0—5</x:v>
      </x:c>
      <x:c r="F14" s="13" t="str">
        <x:v>谷地前段</x:v>
      </x:c>
      <x:c r="G14" s="13" t="str">
        <x:v>P06选择B</x:v>
      </x:c>
      <x:c r="H14" s="13" t="str">
        <x:v>谷地推进稳定；高地暴风影响较小；伤手不需高强度攀爬</x:v>
      </x:c>
      <x:c r="I14" s="13" t="str">
        <x:v>让玩家真实感到“可控性”是收益</x:v>
      </x:c>
      <x:c r="J14" s="13" t="str"/>
      <x:c r="K14" s="13" t="n">
        <x:v>0</x:v>
      </x:c>
      <x:c r="L14" s="13" t="str">
        <x:v>不收集</x:v>
      </x:c>
      <x:c r="M14" s="13" t="str">
        <x:v>验证山谷初始判断</x:v>
      </x:c>
      <x:c r="N14" s="13" t="str">
        <x:v>route=B；fatigue=正常；risk_exposure=较低</x:v>
      </x:c>
      <x:c r="O14" s="13" t="str">
        <x:v>B02</x:v>
      </x:c>
      <x:c r="P14" s="13" t="str">
        <x:v>可控性、行动风险</x:v>
      </x:c>
      <x:c r="Q14" s="13" t="str">
        <x:v>路线专属</x:v>
      </x:c>
      <x:c r="R14" s="13" t="str">
        <x:v>VALLEY_EARLY</x:v>
      </x:c>
      <x:c r="S14" s="13" t="str">
        <x:v>04_完整文字剧情_FINAL + 10_B线_FINAL</x:v>
      </x:c>
      <x:c r="T14" s="20" t="str">
        <x:v>交互文案/对白已定稿</x:v>
      </x:c>
    </x:row>
    <x:row r="15">
      <x:c r="A15" s="19" t="str">
        <x:v>B02</x:v>
      </x:c>
      <x:c r="B15" s="13" t="str">
        <x:v>B</x:v>
      </x:c>
      <x:c r="C15" s="13" t="str">
        <x:v>没有事故，但时间不对了</x:v>
      </x:c>
      <x:c r="D15" s="13" t="str">
        <x:v>决策</x:v>
      </x:c>
      <x:c r="E15" s="13" t="str">
        <x:v>Day 6 · 09:00左右</x:v>
      </x:c>
      <x:c r="F15" s="13" t="str">
        <x:v>谷地休整点</x:v>
      </x:c>
      <x:c r="G15" s="13" t="str">
        <x:v>B01完成</x:v>
      </x:c>
      <x:c r="H15" s="13" t="str">
        <x:v>前六天没有出问题，速度也没比山谷正常节奏慢；按当前可持续节奏大概还需10天；窗口只剩8天</x:v>
      </x:c>
      <x:c r="I15" s="13" t="str">
        <x:v>进度盘点把Day 0已知的“2—3周期限风险”变成更确定的执行事实：当前节奏正在指向约16天完成</x:v>
      </x:c>
      <x:c r="J15" s="13" t="str">
        <x:v>现在开始提速，还是继续按可持续节奏走？</x:v>
      </x:c>
      <x:c r="K15" s="13" t="n">
        <x:v>2</x:v>
      </x:c>
      <x:c r="L15" s="13" t="str">
        <x:v>建议收：此刻最重要的是？保期限 / 保可持续状态 / 其他</x:v>
      </x:c>
      <x:c r="M15" s="13" t="str">
        <x:v>形成B线第一次节奏调整</x:v>
      </x:c>
      <x:c r="N15" s="13" t="str">
        <x:v>写入b_day6_choice；影响fatigue与deadline_risk</x:v>
      </x:c>
      <x:c r="O15" s="13" t="str">
        <x:v>B03A / B03B</x:v>
      </x:c>
      <x:c r="P15" s="13" t="str">
        <x:v>路径与目标是否仍匹配</x:v>
      </x:c>
      <x:c r="Q15" s="13" t="str">
        <x:v>路线专属</x:v>
      </x:c>
      <x:c r="R15" s="13" t="str">
        <x:v>VALLEY_CHECK</x:v>
      </x:c>
      <x:c r="S15" s="13" t="str">
        <x:v>04_完整文字剧情_FINAL + 10_B线_FINAL + 13_FINAL一致性收口与封版说明</x:v>
      </x:c>
      <x:c r="T15" s="20" t="str">
        <x:v>FINAL一致性收口通过</x:v>
      </x:c>
    </x:row>
    <x:row r="16">
      <x:c r="A16" s="19" t="str">
        <x:v>B03A</x:v>
      </x:c>
      <x:c r="B16" s="13" t="str">
        <x:v>B</x:v>
      </x:c>
      <x:c r="C16" s="13" t="str">
        <x:v>早提速：时间追回来了，人开始欠账</x:v>
      </x:c>
      <x:c r="D16" s="13" t="str">
        <x:v>剧情</x:v>
      </x:c>
      <x:c r="E16" s="13" t="str">
        <x:v>Day 9</x:v>
      </x:c>
      <x:c r="F16" s="13" t="str">
        <x:v>谷地后段休整点</x:v>
      </x:c>
      <x:c r="G16" s="13" t="str">
        <x:v>B02选择早提速</x:v>
      </x:c>
      <x:c r="H16" s="13" t="str">
        <x:v>连续三天缩短休整、傍晚多走；追回约一天；疲劳和伤手负担可见</x:v>
      </x:c>
      <x:c r="I16" s="13" t="str">
        <x:v>表现“提速有效但不免费”</x:v>
      </x:c>
      <x:c r="J16" s="13" t="str"/>
      <x:c r="K16" s="13" t="n">
        <x:v>0</x:v>
      </x:c>
      <x:c r="L16" s="13" t="str">
        <x:v>不收集</x:v>
      </x:c>
      <x:c r="M16" s="13" t="str">
        <x:v>让早调整的代价回来找玩家</x:v>
      </x:c>
      <x:c r="N16" s="13" t="str">
        <x:v>fatigue=高；buffer=低；b_history=early_accel</x:v>
      </x:c>
      <x:c r="O16" s="13" t="str">
        <x:v>B04</x:v>
      </x:c>
      <x:c r="P16" s="13" t="str">
        <x:v>早调整的代价</x:v>
      </x:c>
      <x:c r="Q16" s="13" t="str">
        <x:v>母版+变体</x:v>
      </x:c>
      <x:c r="R16" s="13" t="str">
        <x:v>VALLEY_LATE</x:v>
      </x:c>
      <x:c r="S16" s="13" t="str">
        <x:v>04_完整文字剧情_FINAL + 10_B线_FINAL</x:v>
      </x:c>
      <x:c r="T16" s="20" t="str">
        <x:v>交互文案/对白已定稿</x:v>
      </x:c>
    </x:row>
    <x:row r="17">
      <x:c r="A17" s="19" t="str">
        <x:v>B03B</x:v>
      </x:c>
      <x:c r="B17" s="13" t="str">
        <x:v>B</x:v>
      </x:c>
      <x:c r="C17" s="13" t="str">
        <x:v>一直稳走：人没垮，时间先没了</x:v>
      </x:c>
      <x:c r="D17" s="13" t="str">
        <x:v>剧情</x:v>
      </x:c>
      <x:c r="E17" s="13" t="str">
        <x:v>Day 9</x:v>
      </x:c>
      <x:c r="F17" s="13" t="str">
        <x:v>谷地后段休整点</x:v>
      </x:c>
      <x:c r="G17" s="13" t="str">
        <x:v>B02选择维持节奏</x:v>
      </x:c>
      <x:c r="H17" s="13" t="str">
        <x:v>人员状态较好；若继续当前节奏，原窗口基本保不住</x:v>
      </x:c>
      <x:c r="I17" s="13" t="str">
        <x:v>没有新灾难，只让时间关闭后续选项</x:v>
      </x:c>
      <x:c r="J17" s="13" t="str"/>
      <x:c r="K17" s="13" t="n">
        <x:v>0</x:v>
      </x:c>
      <x:c r="L17" s="13" t="str">
        <x:v>不收集</x:v>
      </x:c>
      <x:c r="M17" s="13" t="str">
        <x:v>让不调整的代价回来找玩家</x:v>
      </x:c>
      <x:c r="N17" s="13" t="str">
        <x:v>fatigue=可控；deadline_risk=极高；b_history=steady</x:v>
      </x:c>
      <x:c r="O17" s="13" t="str">
        <x:v>B04</x:v>
      </x:c>
      <x:c r="P17" s="13" t="str">
        <x:v>选择空间随时间收缩</x:v>
      </x:c>
      <x:c r="Q17" s="13" t="str">
        <x:v>母版+变体</x:v>
      </x:c>
      <x:c r="R17" s="13" t="str">
        <x:v>VALLEY_LATE</x:v>
      </x:c>
      <x:c r="S17" s="13" t="str">
        <x:v>04_完整文字剧情_FINAL + 10_B线_FINAL</x:v>
      </x:c>
      <x:c r="T17" s="20" t="str">
        <x:v>交互文案/对白已定稿</x:v>
      </x:c>
    </x:row>
    <x:row r="18">
      <x:c r="A18" s="19" t="str">
        <x:v>B04</x:v>
      </x:c>
      <x:c r="B18" s="13" t="str">
        <x:v>B</x:v>
      </x:c>
      <x:c r="C18" s="13" t="str">
        <x:v>第二次判断：现在还要不要改变节奏</x:v>
      </x:c>
      <x:c r="D18" s="13" t="str">
        <x:v>决策</x:v>
      </x:c>
      <x:c r="E18" s="13" t="str">
        <x:v>Day 9</x:v>
      </x:c>
      <x:c r="F18" s="13" t="str">
        <x:v>谷地后段休整点</x:v>
      </x:c>
      <x:c r="G18" s="13" t="str">
        <x:v>B03A或B03B完成</x:v>
      </x:c>
      <x:c r="H18" s="13" t="str">
        <x:v>前情决定可见状态；同一个“提速”在Day 6与Day 9成本不同</x:v>
      </x:c>
      <x:c r="I18" s="13" t="str">
        <x:v>同场景根据b_history显示两组不同按钮</x:v>
      </x:c>
      <x:c r="J18" s="13" t="str">
        <x:v>根据Day 6的选择：继续/恢复，或最后冲刺/继续稳走</x:v>
      </x:c>
      <x:c r="K18" s="13" t="n">
        <x:v>2</x:v>
      </x:c>
      <x:c r="L18" s="13" t="str">
        <x:v>不收集；记录是否坚持/反转</x:v>
      </x:c>
      <x:c r="M18" s="13" t="str">
        <x:v>兑现早调整与晚调整的不同成本</x:v>
      </x:c>
      <x:c r="N18" s="13" t="str">
        <x:v>直接写入arrival_time、fatigue、deadline_status</x:v>
      </x:c>
      <x:c r="O18" s="13" t="str">
        <x:v>X01</x:v>
      </x:c>
      <x:c r="P18" s="13" t="str">
        <x:v>越晚调整为什么越贵</x:v>
      </x:c>
      <x:c r="Q18" s="13" t="str">
        <x:v>母版+变体</x:v>
      </x:c>
      <x:c r="R18" s="13" t="str">
        <x:v>VALLEY_LATE</x:v>
      </x:c>
      <x:c r="S18" s="13" t="str">
        <x:v>04_完整文字剧情_FINAL + 10_B线_FINAL</x:v>
      </x:c>
      <x:c r="T18" s="20" t="str">
        <x:v>交互文案/对白已定稿</x:v>
      </x:c>
    </x:row>
    <x:row r="19">
      <x:c r="A19" s="19" t="str">
        <x:v>C01</x:v>
      </x:c>
      <x:c r="B19" s="13" t="str">
        <x:v>C</x:v>
      </x:c>
      <x:c r="C19" s="13" t="str">
        <x:v>等待不是空白</x:v>
      </x:c>
      <x:c r="D19" s="13" t="str">
        <x:v>剧情</x:v>
      </x:c>
      <x:c r="E19" s="13" t="str">
        <x:v>Day 0—2</x:v>
      </x:c>
      <x:c r="F19" s="13" t="str">
        <x:v>营地</x:v>
      </x:c>
      <x:c r="G19" s="13" t="str">
        <x:v>P06选择C</x:v>
      </x:c>
      <x:c r="H19" s="13" t="str">
        <x:v>两天过去；天气逐渐变化；队伍观察；左手休息但未痊愈；剩12天</x:v>
      </x:c>
      <x:c r="I19" s="13" t="str">
        <x:v>让等待本身被体验，不用无意义按钮填满</x:v>
      </x:c>
      <x:c r="J19" s="13" t="str"/>
      <x:c r="K19" s="13" t="n">
        <x:v>0</x:v>
      </x:c>
      <x:c r="L19" s="13" t="str">
        <x:v>不收集</x:v>
      </x:c>
      <x:c r="M19" s="13" t="str">
        <x:v>兑现“信息要用时间购买”</x:v>
      </x:c>
      <x:c r="N19" s="13" t="str">
        <x:v>day=2；hand=略恢复；info=等待中；buffer=12天</x:v>
      </x:c>
      <x:c r="O19" s="13" t="str">
        <x:v>C02</x:v>
      </x:c>
      <x:c r="P19" s="13" t="str">
        <x:v>等待成本</x:v>
      </x:c>
      <x:c r="Q19" s="13" t="str">
        <x:v>路线专属</x:v>
      </x:c>
      <x:c r="R19" s="13" t="str">
        <x:v>WAIT_CAMP</x:v>
      </x:c>
      <x:c r="S19" s="13" t="str">
        <x:v>04_完整文字剧情_FINAL + 11_C线_FINAL</x:v>
      </x:c>
      <x:c r="T19" s="20" t="str">
        <x:v>交互文案/对白已定稿</x:v>
      </x:c>
    </x:row>
    <x:row r="20">
      <x:c r="A20" s="19" t="str">
        <x:v>C02</x:v>
      </x:c>
      <x:c r="B20" s="13" t="str">
        <x:v>C</x:v>
      </x:c>
      <x:c r="C20" s="13" t="str">
        <x:v>第一份信息只解决了一半</x:v>
      </x:c>
      <x:c r="D20" s="13" t="str">
        <x:v>决策</x:v>
      </x:c>
      <x:c r="E20" s="13" t="str">
        <x:v>Day 2 · 09:00</x:v>
      </x:c>
      <x:c r="F20" s="13" t="str">
        <x:v>营地</x:v>
      </x:c>
      <x:c r="G20" s="13" t="str">
        <x:v>C01完成</x:v>
      </x:c>
      <x:c r="H20" s="13" t="str">
        <x:v>已确认高地会受暴风影响；山口是否可通仍不确定；再等约1天可获得更可靠判断</x:v>
      </x:c>
      <x:c r="I20" s="13" t="str">
        <x:v>第一份信息有价值，但没有给出上帝答案</x:v>
      </x:c>
      <x:c r="J20" s="13" t="str">
        <x:v>第三天的信息值不值得再买？</x:v>
      </x:c>
      <x:c r="K20" s="13" t="n">
        <x:v>2</x:v>
      </x:c>
      <x:c r="L20" s="13" t="str">
        <x:v>建议收：为什么这条信息已经/还不够？（短选项+可选短句）</x:v>
      </x:c>
      <x:c r="M20" s="13" t="str">
        <x:v>形成“停止还是继续收集信息”的第一次判断</x:v>
      </x:c>
      <x:c r="N20" s="13" t="str">
        <x:v>C2-1增加info并消耗1天；C2-2转谷地并基本放弃期限</x:v>
      </x:c>
      <x:c r="O20" s="13" t="str">
        <x:v>C03 / C04V</x:v>
      </x:c>
      <x:c r="P20" s="13" t="str">
        <x:v>信息价值、停止等待</x:v>
      </x:c>
      <x:c r="Q20" s="13" t="str">
        <x:v>路线专属</x:v>
      </x:c>
      <x:c r="R20" s="13" t="str">
        <x:v>WAIT_INFO1</x:v>
      </x:c>
      <x:c r="S20" s="13" t="str">
        <x:v>04_完整文字剧情_FINAL + 11_C线_FINAL</x:v>
      </x:c>
      <x:c r="T20" s="20" t="str">
        <x:v>交互文案/对白已定稿</x:v>
      </x:c>
    </x:row>
    <x:row r="21">
      <x:c r="A21" s="19" t="str">
        <x:v>C03</x:v>
      </x:c>
      <x:c r="B21" s="13" t="str">
        <x:v>C</x:v>
      </x:c>
      <x:c r="C21" s="13" t="str">
        <x:v>买到的是依据，不是答案</x:v>
      </x:c>
      <x:c r="D21" s="13" t="str">
        <x:v>决策</x:v>
      </x:c>
      <x:c r="E21" s="13" t="str">
        <x:v>Day 3 · 09:00</x:v>
      </x:c>
      <x:c r="F21" s="13" t="str">
        <x:v>营地</x:v>
      </x:c>
      <x:c r="G21" s="13" t="str">
        <x:v>C02选择再等一天</x:v>
      </x:c>
      <x:c r="H21" s="13" t="str">
        <x:v>山口未确认完全封死；最差天气后有改善趋势；仍无人保证一路顺利；只剩约11天</x:v>
      </x:c>
      <x:c r="I21" s="13" t="str">
        <x:v>信息更完整，但行动空间更小</x:v>
      </x:c>
      <x:c r="J21" s="13" t="str">
        <x:v>信息已经到这里，现在怎么行动？</x:v>
      </x:c>
      <x:c r="K21" s="13" t="n">
        <x:v>3</x:v>
      </x:c>
      <x:c r="L21" s="13" t="str">
        <x:v>不再单独收集；沿用C02信息判断理由</x:v>
      </x:c>
      <x:c r="M21" s="13" t="str">
        <x:v>把信息转化为真正路线承诺</x:v>
      </x:c>
      <x:c r="N21" s="13" t="str">
        <x:v>根据选项设置route_history与deadline_expectation</x:v>
      </x:c>
      <x:c r="O21" s="13" t="str">
        <x:v>C04M / C04V / X02</x:v>
      </x:c>
      <x:c r="P21" s="13" t="str">
        <x:v>更多信息 vs 足够行动的信息</x:v>
      </x:c>
      <x:c r="Q21" s="13" t="str">
        <x:v>路线专属</x:v>
      </x:c>
      <x:c r="R21" s="13" t="str">
        <x:v>WAIT_INFO2</x:v>
      </x:c>
      <x:c r="S21" s="13" t="str">
        <x:v>04_完整文字剧情_FINAL + 11_C线_FINAL</x:v>
      </x:c>
      <x:c r="T21" s="20" t="str">
        <x:v>交互文案/对白已定稿</x:v>
      </x:c>
    </x:row>
    <x:row r="22">
      <x:c r="A22" s="19" t="str">
        <x:v>C04M</x:v>
      </x:c>
      <x:c r="B22" s="13" t="str">
        <x:v>C</x:v>
      </x:c>
      <x:c r="C22" s="13" t="str">
        <x:v>进入共享山路：带着信息行动</x:v>
      </x:c>
      <x:c r="D22" s="13" t="str">
        <x:v>过渡</x:v>
      </x:c>
      <x:c r="E22" s="13" t="str">
        <x:v>Day 3起</x:v>
      </x:c>
      <x:c r="F22" s="13" t="str">
        <x:v>低处山路/山脊远景</x:v>
      </x:c>
      <x:c r="G22" s="13" t="str">
        <x:v>C03选择山路</x:v>
      </x:c>
      <x:c r="H22" s="13" t="str">
        <x:v>玩家已用3天换来判断；最差暴风阶段已避开；仍存在剩余风险</x:v>
      </x:c>
      <x:c r="I22" s="13" t="str">
        <x:v>使用中性山路环境，但进入句必须体现“前三天换来的信息”</x:v>
      </x:c>
      <x:c r="J22" s="13" t="str"/>
      <x:c r="K22" s="13" t="n">
        <x:v>0</x:v>
      </x:c>
      <x:c r="L22" s="13" t="str">
        <x:v>不收集</x:v>
      </x:c>
      <x:c r="M22" s="13" t="str">
        <x:v>让C进入共享故事空间而不变成晚三天的A</x:v>
      </x:c>
      <x:c r="N22" s="13" t="str">
        <x:v>route_history=C&gt;等待&gt;山路；info=通行判断已更新</x:v>
      </x:c>
      <x:c r="O22" s="13" t="str">
        <x:v>C05</x:v>
      </x:c>
      <x:c r="P22" s="13" t="str">
        <x:v>信息转化为行动</x:v>
      </x:c>
      <x:c r="Q22" s="13" t="str">
        <x:v>母版+变体</x:v>
      </x:c>
      <x:c r="R22" s="13" t="str">
        <x:v>MTN_NEUTRAL</x:v>
      </x:c>
      <x:c r="S22" s="13" t="str">
        <x:v>04_完整文字剧情_FINAL + 11_C线_FINAL</x:v>
      </x:c>
      <x:c r="T22" s="20" t="str">
        <x:v>交互文案/对白已定稿</x:v>
      </x:c>
    </x:row>
    <x:row r="23">
      <x:c r="A23" s="19" t="str">
        <x:v>C04V</x:v>
      </x:c>
      <x:c r="B23" s="13" t="str">
        <x:v>C</x:v>
      </x:c>
      <x:c r="C23" s="13" t="str">
        <x:v>进入较晚状态谷地</x:v>
      </x:c>
      <x:c r="D23" s="13" t="str">
        <x:v>过渡</x:v>
      </x:c>
      <x:c r="E23" s="13" t="str">
        <x:v>Day 2 / Day 3 / Day 7以后</x:v>
      </x:c>
      <x:c r="F23" s="13" t="str">
        <x:v>谷地行进空间</x:v>
      </x:c>
      <x:c r="G23" s="13" t="str">
        <x:v>C02转谷地、C03转谷地或C06放弃山路</x:v>
      </x:c>
      <x:c r="H23" s="13" t="str">
        <x:v>这是“带着等待/现场更新历史”的谷地，不是B Day0开局；期限已显著恶化</x:v>
      </x:c>
      <x:c r="I23" s="13" t="str">
        <x:v>用谷地母版表现真正执行；具体到达日由进入历史决定</x:v>
      </x:c>
      <x:c r="J23" s="13" t="str"/>
      <x:c r="K23" s="13" t="n">
        <x:v>0</x:v>
      </x:c>
      <x:c r="L23" s="13" t="str">
        <x:v>不收集</x:v>
      </x:c>
      <x:c r="M23" s="13" t="str">
        <x:v>兑现改路且保留等待成本</x:v>
      </x:c>
      <x:c r="N23" s="13" t="str">
        <x:v>route_history保留C历史；deadline=missed或基本missed</x:v>
      </x:c>
      <x:c r="O23" s="13" t="str">
        <x:v>X01</x:v>
      </x:c>
      <x:c r="P23" s="13" t="str">
        <x:v>信息改变行动；未来选择空间缩小</x:v>
      </x:c>
      <x:c r="Q23" s="13" t="str">
        <x:v>母版+变体</x:v>
      </x:c>
      <x:c r="R23" s="13" t="str">
        <x:v>VALLEY_LATE</x:v>
      </x:c>
      <x:c r="S23" s="13" t="str">
        <x:v>04_完整文字剧情_FINAL + 11_C线_FINAL</x:v>
      </x:c>
      <x:c r="T23" s="20" t="str">
        <x:v>交互文案/对白已定稿</x:v>
      </x:c>
    </x:row>
    <x:row r="24">
      <x:c r="A24" s="19" t="str">
        <x:v>C05</x:v>
      </x:c>
      <x:c r="B24" s="13" t="str">
        <x:v>C</x:v>
      </x:c>
      <x:c r="C24" s="13" t="str">
        <x:v>信息第一次证明自己有用</x:v>
      </x:c>
      <x:c r="D24" s="13" t="str">
        <x:v>剧情</x:v>
      </x:c>
      <x:c r="E24" s="13" t="str">
        <x:v>Day 3—7</x:v>
      </x:c>
      <x:c r="F24" s="13" t="str">
        <x:v>共享山路前中段</x:v>
      </x:c>
      <x:c r="G24" s="13" t="str">
        <x:v>C04M完成</x:v>
      </x:c>
      <x:c r="H24" s="13" t="str">
        <x:v>没有在最差暴风阶段直接进高处；行动总体符合Day3判断</x:v>
      </x:c>
      <x:c r="I24" s="13" t="str">
        <x:v>先给玩家“等待不是白等”的正反馈</x:v>
      </x:c>
      <x:c r="J24" s="13" t="str"/>
      <x:c r="K24" s="13" t="n">
        <x:v>0</x:v>
      </x:c>
      <x:c r="L24" s="13" t="str">
        <x:v>不收集</x:v>
      </x:c>
      <x:c r="M24" s="13" t="str">
        <x:v>验证信息的真实行动价值</x:v>
      </x:c>
      <x:c r="N24" s="13" t="str">
        <x:v>info_value=已兑现；commitment=中</x:v>
      </x:c>
      <x:c r="O24" s="13" t="str">
        <x:v>C06</x:v>
      </x:c>
      <x:c r="P24" s="13" t="str">
        <x:v>信息不是白买</x:v>
      </x:c>
      <x:c r="Q24" s="13" t="str">
        <x:v>母版+变体</x:v>
      </x:c>
      <x:c r="R24" s="13" t="str">
        <x:v>MTN_NEUTRAL</x:v>
      </x:c>
      <x:c r="S24" s="13" t="str">
        <x:v>04_完整文字剧情_FINAL + 11_C线_FINAL</x:v>
      </x:c>
      <x:c r="T24" s="20" t="str">
        <x:v>交互文案/对白已定稿</x:v>
      </x:c>
    </x:row>
    <x:row r="25">
      <x:c r="A25" s="19" t="str">
        <x:v>C06</x:v>
      </x:c>
      <x:c r="B25" s="13" t="str">
        <x:v>C</x:v>
      </x:c>
      <x:c r="C25" s="13" t="str">
        <x:v>现实继续更新</x:v>
      </x:c>
      <x:c r="D25" s="13" t="str">
        <x:v>决策</x:v>
      </x:c>
      <x:c r="E25" s="13" t="str">
        <x:v>约Day 7</x:v>
      </x:c>
      <x:c r="F25" s="13" t="str">
        <x:v>山路现场</x:v>
      </x:c>
      <x:c r="G25" s="13" t="str">
        <x:v>C05完成</x:v>
      </x:c>
      <x:c r="H25" s="13" t="str">
        <x:v>大趋势基本正确，但局部风势比预想慢；山口仍可考虑但更紧</x:v>
      </x:c>
      <x:c r="I25" s="13" t="str">
        <x:v>不是“预报打脸”，而是现场信息继续更新</x:v>
      </x:c>
      <x:c r="J25" s="13" t="str">
        <x:v>旧判断还应该占多大权重？</x:v>
      </x:c>
      <x:c r="K25" s="13" t="n">
        <x:v>3</x:v>
      </x:c>
      <x:c r="L25" s="13" t="str">
        <x:v>不收集；记录坚持/更新/推翻旧判断</x:v>
      </x:c>
      <x:c r="M25" s="13" t="str">
        <x:v>形成C线最后一次信息更新决策</x:v>
      </x:c>
      <x:c r="N25" s="13" t="str">
        <x:v>选项写入arrival_time或转谷地；info=field_updated</x:v>
      </x:c>
      <x:c r="O25" s="13" t="str">
        <x:v>X01 / C04V</x:v>
      </x:c>
      <x:c r="P25" s="13" t="str">
        <x:v>旧信息权重、更新判断</x:v>
      </x:c>
      <x:c r="Q25" s="13" t="str">
        <x:v>母版+变体</x:v>
      </x:c>
      <x:c r="R25" s="13" t="str">
        <x:v>MTN_FIELD_UPDATE</x:v>
      </x:c>
      <x:c r="S25" s="13" t="str">
        <x:v>04_完整文字剧情_FINAL + 11_C线_FINAL</x:v>
      </x:c>
      <x:c r="T25" s="20" t="str">
        <x:v>交互文案/对白已定稿</x:v>
      </x:c>
    </x:row>
    <x:row r="26">
      <x:c r="A26" s="19" t="str">
        <x:v>D01</x:v>
      </x:c>
      <x:c r="B26" s="13" t="str">
        <x:v>D</x:v>
      </x:c>
      <x:c r="C26" s="13" t="str">
        <x:v>安全选择真的买到了东西</x:v>
      </x:c>
      <x:c r="D26" s="13" t="str">
        <x:v>剧情</x:v>
      </x:c>
      <x:c r="E26" s="13" t="str">
        <x:v>Day 0—5</x:v>
      </x:c>
      <x:c r="F26" s="13" t="str">
        <x:v>营地</x:v>
      </x:c>
      <x:c r="G26" s="13" t="str">
        <x:v>P06选择D</x:v>
      </x:c>
      <x:c r="H26" s="13" t="str">
        <x:v>玩家未进入山地；暴风真实发生；左手、体力和人员状态得到恢复</x:v>
      </x:c>
      <x:c r="I26" s="13" t="str">
        <x:v>让“不赌”先产生真实收益，不写成失败按钮</x:v>
      </x:c>
      <x:c r="J26" s="13" t="str"/>
      <x:c r="K26" s="13" t="n">
        <x:v>0</x:v>
      </x:c>
      <x:c r="L26" s="13" t="str">
        <x:v>不收集</x:v>
      </x:c>
      <x:c r="M26" s="13" t="str">
        <x:v>验证安全优先的合理性</x:v>
      </x:c>
      <x:c r="N26" s="13" t="str">
        <x:v>route=D；hand=恢复；fatigue=恢复；deadline_buffer下降</x:v>
      </x:c>
      <x:c r="O26" s="13" t="str">
        <x:v>D02</x:v>
      </x:c>
      <x:c r="P26" s="13" t="str">
        <x:v>安全与价值排序</x:v>
      </x:c>
      <x:c r="Q26" s="13" t="str">
        <x:v>路线专属</x:v>
      </x:c>
      <x:c r="R26" s="13" t="str">
        <x:v>WAIT_SAFE</x:v>
      </x:c>
      <x:c r="S26" s="13" t="str">
        <x:v>04_完整文字剧情_FINAL + 12_D线_FINAL</x:v>
      </x:c>
      <x:c r="T26" s="20" t="str">
        <x:v>交互文案/对白已定稿</x:v>
      </x:c>
    </x:row>
    <x:row r="27">
      <x:c r="A27" s="19" t="str">
        <x:v>D02</x:v>
      </x:c>
      <x:c r="B27" s="13" t="str">
        <x:v>D</x:v>
      </x:c>
      <x:c r="C27" s="13" t="str">
        <x:v>世界后来变了</x:v>
      </x:c>
      <x:c r="D27" s="13" t="str">
        <x:v>剧情</x:v>
      </x:c>
      <x:c r="E27" s="13" t="str">
        <x:v>Day 5 · 下午</x:v>
      </x:c>
      <x:c r="F27" s="13" t="str">
        <x:v>营地</x:v>
      </x:c>
      <x:c r="G27" s="13" t="str">
        <x:v>D01完成</x:v>
      </x:c>
      <x:c r="H27" s="13" t="str">
        <x:v>天气比预期更早出现短暂改善窗口；不是绝对安全；只剩约8天半</x:v>
      </x:c>
      <x:c r="I27" s="13" t="str">
        <x:v>用新环境事实动摇原决策依据，而不是奖励玩家</x:v>
      </x:c>
      <x:c r="J27" s="13" t="str"/>
      <x:c r="K27" s="13" t="n">
        <x:v>0</x:v>
      </x:c>
      <x:c r="L27" s="13" t="str">
        <x:v>不收集</x:v>
      </x:c>
      <x:c r="M27" s="13" t="str">
        <x:v>建立反转诱因</x:v>
      </x:c>
      <x:c r="N27" s="13" t="str">
        <x:v>weather=改善窗口；buffer=极窄</x:v>
      </x:c>
      <x:c r="O27" s="13" t="str">
        <x:v>D03</x:v>
      </x:c>
      <x:c r="P27" s="13" t="str">
        <x:v>环境变化、假设更新</x:v>
      </x:c>
      <x:c r="Q27" s="13" t="str">
        <x:v>路线专属</x:v>
      </x:c>
      <x:c r="R27" s="13" t="str">
        <x:v>WAIT_WINDOW</x:v>
      </x:c>
      <x:c r="S27" s="13" t="str">
        <x:v>04_完整文字剧情_FINAL + 12_D线_FINAL</x:v>
      </x:c>
      <x:c r="T27" s="20" t="str">
        <x:v>交互文案/对白已定稿</x:v>
      </x:c>
    </x:row>
    <x:row r="28">
      <x:c r="A28" s="19" t="str">
        <x:v>D03</x:v>
      </x:c>
      <x:c r="B28" s="13" t="str">
        <x:v>D</x:v>
      </x:c>
      <x:c r="C28" s="13" t="str">
        <x:v>还坚持原计划吗</x:v>
      </x:c>
      <x:c r="D28" s="13" t="str">
        <x:v>决策</x:v>
      </x:c>
      <x:c r="E28" s="13" t="str">
        <x:v>Day 5 · 下午</x:v>
      </x:c>
      <x:c r="F28" s="13" t="str">
        <x:v>营地</x:v>
      </x:c>
      <x:c r="G28" s="13" t="str">
        <x:v>D02完成</x:v>
      </x:c>
      <x:c r="H28" s="13" t="str">
        <x:v>前期安全收益已兑现；天气依据变化；时间已经花掉</x:v>
      </x:c>
      <x:c r="I28" s="13" t="str">
        <x:v>两边都有理：继续安全等待，或重新争取机会</x:v>
      </x:c>
      <x:c r="J28" s="13" t="str">
        <x:v>继续安全等待，还是利用新窗口重新走山路？</x:v>
      </x:c>
      <x:c r="K28" s="13" t="n">
        <x:v>2</x:v>
      </x:c>
      <x:c r="L28" s="13" t="str">
        <x:v>建议收：什么新事实足以/不足以改变原决定？</x:v>
      </x:c>
      <x:c r="M28" s="13" t="str">
        <x:v>形成战略反转或坚持</x:v>
      </x:c>
      <x:c r="N28" s="13" t="str">
        <x:v>D3-1=abandon_window；D3-2=reversed_strategy</x:v>
      </x:c>
      <x:c r="O28" s="13" t="str">
        <x:v>D04A / D04B</x:v>
      </x:c>
      <x:c r="P28" s="13" t="str">
        <x:v>战略一致性、反转证据</x:v>
      </x:c>
      <x:c r="Q28" s="13" t="str">
        <x:v>路线专属</x:v>
      </x:c>
      <x:c r="R28" s="13" t="str">
        <x:v>WAIT_WINDOW</x:v>
      </x:c>
      <x:c r="S28" s="13" t="str">
        <x:v>04_完整文字剧情_FINAL + 12_D线_FINAL</x:v>
      </x:c>
      <x:c r="T28" s="20" t="str">
        <x:v>交互文案/对白已定稿</x:v>
      </x:c>
    </x:row>
    <x:row r="29">
      <x:c r="A29" s="19" t="str">
        <x:v>D04A</x:v>
      </x:c>
      <x:c r="B29" s="13" t="str">
        <x:v>D</x:v>
      </x:c>
      <x:c r="C29" s="13" t="str">
        <x:v>把安全等待真正兑现</x:v>
      </x:c>
      <x:c r="D29" s="13" t="str">
        <x:v>剧情</x:v>
      </x:c>
      <x:c r="E29" s="13" t="str">
        <x:v>Day 5以后→约Day40</x:v>
      </x:c>
      <x:c r="F29" s="13" t="str">
        <x:v>长期等待/安全返程</x:v>
      </x:c>
      <x:c r="G29" s="13" t="str">
        <x:v>D03选择继续等待</x:v>
      </x:c>
      <x:c r="H29" s="13" t="str">
        <x:v>人员与身体持续恢复；原购买窗口明确过去；最终安全返回</x:v>
      </x:c>
      <x:c r="I29" s="13" t="str">
        <x:v>不再强塞交易、合作或新战略题，尊重玩家再次确认的安全目标</x:v>
      </x:c>
      <x:c r="J29" s="13" t="str"/>
      <x:c r="K29" s="13" t="n">
        <x:v>0</x:v>
      </x:c>
      <x:c r="L29" s="13" t="str">
        <x:v>不收集</x:v>
      </x:c>
      <x:c r="M29" s="13" t="str">
        <x:v>兑现主动放弃与安全目标</x:v>
      </x:c>
      <x:c r="N29" s="13" t="str">
        <x:v>deadline=abandoned；people=protected；route_history=D&gt;安全等待</x:v>
      </x:c>
      <x:c r="O29" s="13" t="str">
        <x:v>X02</x:v>
      </x:c>
      <x:c r="P29" s="13" t="str">
        <x:v>退出/安全不是失败</x:v>
      </x:c>
      <x:c r="Q29" s="13" t="str">
        <x:v>路线专属</x:v>
      </x:c>
      <x:c r="R29" s="13" t="str">
        <x:v>SAFE_RETURN</x:v>
      </x:c>
      <x:c r="S29" s="13" t="str">
        <x:v>04_完整文字剧情_FINAL + 12_D线_FINAL</x:v>
      </x:c>
      <x:c r="T29" s="20" t="str">
        <x:v>交互文案/对白已定稿</x:v>
      </x:c>
    </x:row>
    <x:row r="30">
      <x:c r="A30" s="19" t="str">
        <x:v>D04B</x:v>
      </x:c>
      <x:c r="B30" s="13" t="str">
        <x:v>D</x:v>
      </x:c>
      <x:c r="C30" s="13" t="str">
        <x:v>反转：进入共享山路</x:v>
      </x:c>
      <x:c r="D30" s="13" t="str">
        <x:v>过渡</x:v>
      </x:c>
      <x:c r="E30" s="13" t="str">
        <x:v>Day 5—6</x:v>
      </x:c>
      <x:c r="F30" s="13" t="str">
        <x:v>低处山路/暴风峰值后环境</x:v>
      </x:c>
      <x:c r="G30" s="13" t="str">
        <x:v>D03选择重新争取</x:v>
      </x:c>
      <x:c r="H30" s="13" t="str">
        <x:v>身体比Day0稳；天气比峰值好；但只剩极窄时间窗口</x:v>
      </x:c>
      <x:c r="I30" s="13" t="str">
        <x:v>可复用中性山路环境，进入句强调“人和天气更好，但时间不是第一天”</x:v>
      </x:c>
      <x:c r="J30" s="13" t="str"/>
      <x:c r="K30" s="13" t="n">
        <x:v>0</x:v>
      </x:c>
      <x:c r="L30" s="13" t="str">
        <x:v>不收集</x:v>
      </x:c>
      <x:c r="M30" s="13" t="str">
        <x:v>让反转真实执行，且不是免费重选A</x:v>
      </x:c>
      <x:c r="N30" s="13" t="str">
        <x:v>route_history=D&gt;等待&gt;反转&gt;山路；commitment=高；buffer=极窄</x:v>
      </x:c>
      <x:c r="O30" s="13" t="str">
        <x:v>D05</x:v>
      </x:c>
      <x:c r="P30" s="13" t="str">
        <x:v>反转成本、同动作不同状态</x:v>
      </x:c>
      <x:c r="Q30" s="13" t="str">
        <x:v>母版+变体</x:v>
      </x:c>
      <x:c r="R30" s="13" t="str">
        <x:v>MTN_NEUTRAL</x:v>
      </x:c>
      <x:c r="S30" s="13" t="str">
        <x:v>04_完整文字剧情_FINAL + 12_D线_FINAL</x:v>
      </x:c>
      <x:c r="T30" s="20" t="str">
        <x:v>交互文案/对白已定稿</x:v>
      </x:c>
    </x:row>
    <x:row r="31">
      <x:c r="A31" s="19" t="str">
        <x:v>D05</x:v>
      </x:c>
      <x:c r="B31" s="13" t="str">
        <x:v>D</x:v>
      </x:c>
      <x:c r="C31" s="13" t="str">
        <x:v>反转后的再判断</x:v>
      </x:c>
      <x:c r="D31" s="13" t="str">
        <x:v>决策</x:v>
      </x:c>
      <x:c r="E31" s="13" t="str">
        <x:v>约Day 8—9</x:v>
      </x:c>
      <x:c r="F31" s="13" t="str">
        <x:v>山路后段</x:v>
      </x:c>
      <x:c r="G31" s="13" t="str">
        <x:v>D04B完成</x:v>
      </x:c>
      <x:c r="H31" s="13" t="str">
        <x:v>山路总体顺利；伤手/疲劳/局部天气造成普通小减速；因为前面等了5天，这点减速变得很贵</x:v>
      </x:c>
      <x:c r="I31" s="13" t="str">
        <x:v>不制造新灾难，只让小延误在窄缓冲下变昂贵</x:v>
      </x:c>
      <x:c r="J31" s="13" t="str">
        <x:v>把反转执行到底，还是重新把人员安全放第一？</x:v>
      </x:c>
      <x:c r="K31" s="13" t="n">
        <x:v>2</x:v>
      </x:c>
      <x:c r="L31" s="13" t="str">
        <x:v>不收集；记录反转后是否再次调整</x:v>
      </x:c>
      <x:c r="M31" s="13" t="str">
        <x:v>决定是否保住最后几个小时的窗口</x:v>
      </x:c>
      <x:c r="N31" s="13" t="str">
        <x:v>设置arrival_time与deadline_status</x:v>
      </x:c>
      <x:c r="O31" s="13" t="str">
        <x:v>X01</x:v>
      </x:c>
      <x:c r="P31" s="13" t="str">
        <x:v>反转理由是否仍成立</x:v>
      </x:c>
      <x:c r="Q31" s="13" t="str">
        <x:v>母版+变体</x:v>
      </x:c>
      <x:c r="R31" s="13" t="str">
        <x:v>MTN_LATE</x:v>
      </x:c>
      <x:c r="S31" s="13" t="str">
        <x:v>04_完整文字剧情_FINAL + 12_D线_FINAL</x:v>
      </x:c>
      <x:c r="T31" s="20" t="str">
        <x:v>交互文案/对白已定稿</x:v>
      </x:c>
    </x:row>
    <x:row r="32">
      <x:c r="A32" s="19" t="str">
        <x:v>X01</x:v>
      </x:c>
      <x:c r="B32" s="13" t="str">
        <x:v>共享</x:v>
      </x:c>
      <x:c r="C32" s="13" t="str">
        <x:v>期限与到达结算</x:v>
      </x:c>
      <x:c r="D32" s="13" t="str">
        <x:v>结算</x:v>
      </x:c>
      <x:c r="E32" s="13" t="str">
        <x:v>按路径动态</x:v>
      </x:c>
      <x:c r="F32" s="13" t="str">
        <x:v>镇/相关办事地点附近</x:v>
      </x:c>
      <x:c r="G32" s="13" t="str">
        <x:v>A/B/C/D所有实际返程或争期限路径</x:v>
      </x:c>
      <x:c r="H32" s="13" t="str">
        <x:v>显示实际到达时间、期限是否仍开放、人员状态、前面哪次选择造成关键代价</x:v>
      </x:c>
      <x:c r="I32" s="13" t="str">
        <x:v>中性结算场景可做母版；Web叠加时间与本局摘要；不把超期写成“必然已被别人买走”</x:v>
      </x:c>
      <x:c r="J32" s="13" t="str"/>
      <x:c r="K32" s="13" t="n">
        <x:v>0</x:v>
      </x:c>
      <x:c r="L32" s="13" t="str">
        <x:v>不收集</x:v>
      </x:c>
      <x:c r="M32" s="13" t="str">
        <x:v>把结果客观兑现，而不是给人格判词</x:v>
      </x:c>
      <x:c r="N32" s="13" t="str">
        <x:v>deadline_status=met/missed；保留route_history与人员状态</x:v>
      </x:c>
      <x:c r="O32" s="13" t="str">
        <x:v>R01</x:v>
      </x:c>
      <x:c r="P32" s="13" t="str">
        <x:v>客观结局；保住/失去什么</x:v>
      </x:c>
      <x:c r="Q32" s="13" t="str">
        <x:v>母版+变体</x:v>
      </x:c>
      <x:c r="R32" s="13" t="str">
        <x:v>TOWN_SETTLE</x:v>
      </x:c>
      <x:c r="S32" s="13" t="str">
        <x:v>03时间轴 + 04剧情_FINAL</x:v>
      </x:c>
      <x:c r="T32" s="20" t="str">
        <x:v>逻辑锁定·待结算变体设计</x:v>
      </x:c>
    </x:row>
    <x:row r="33">
      <x:c r="A33" s="19" t="str">
        <x:v>X02</x:v>
      </x:c>
      <x:c r="B33" s="13" t="str">
        <x:v>共享</x:v>
      </x:c>
      <x:c r="C33" s="13" t="str">
        <x:v>安全返回/主动放弃结算</x:v>
      </x:c>
      <x:c r="D33" s="13" t="str">
        <x:v>结算</x:v>
      </x:c>
      <x:c r="E33" s="13" t="str">
        <x:v>按路径动态</x:v>
      </x:c>
      <x:c r="F33" s="13" t="str">
        <x:v>营地→安全返程/尾声</x:v>
      </x:c>
      <x:c r="G33" s="13" t="str">
        <x:v>C主动不争期限、D长期安全等待等</x:v>
      </x:c>
      <x:c r="H33" s="13" t="str">
        <x:v>明确原窗口被主动放弃或已过去，同时人员与能力得到保护</x:v>
      </x:c>
      <x:c r="I33" s="13" t="str">
        <x:v>不诱导玩家重新争机会；尊重已经作出的安全/退出承诺</x:v>
      </x:c>
      <x:c r="J33" s="13" t="str"/>
      <x:c r="K33" s="13" t="n">
        <x:v>0</x:v>
      </x:c>
      <x:c r="L33" s="13" t="str">
        <x:v>不收集</x:v>
      </x:c>
      <x:c r="M33" s="13" t="str">
        <x:v>兑现“安全/退出也有收益和代价”</x:v>
      </x:c>
      <x:c r="N33" s="13" t="str">
        <x:v>deadline_status=abandoned；people=protected</x:v>
      </x:c>
      <x:c r="O33" s="13" t="str">
        <x:v>R01</x:v>
      </x:c>
      <x:c r="P33" s="13" t="str">
        <x:v>退出保护了什么；放弃了什么</x:v>
      </x:c>
      <x:c r="Q33" s="13" t="str">
        <x:v>母版+变体</x:v>
      </x:c>
      <x:c r="R33" s="13" t="str">
        <x:v>SAFE_RETURN</x:v>
      </x:c>
      <x:c r="S33" s="13" t="str">
        <x:v>04剧情 + 05复盘_FINAL</x:v>
      </x:c>
      <x:c r="T33" s="20" t="str">
        <x:v>逻辑锁定·待尾声变体设计</x:v>
      </x:c>
    </x:row>
    <x:row r="34">
      <x:c r="A34" s="21" t="str">
        <x:v>R01</x:v>
      </x:c>
      <x:c r="B34" s="22" t="str">
        <x:v>共享</x:v>
      </x:c>
      <x:c r="C34" s="22" t="str">
        <x:v>战略经历复盘</x:v>
      </x:c>
      <x:c r="D34" s="22" t="str">
        <x:v>报告</x:v>
      </x:c>
      <x:c r="E34" s="22" t="str">
        <x:v>游戏结束</x:v>
      </x:c>
      <x:c r="F34" s="22" t="str">
        <x:v>Web结果页</x:v>
      </x:c>
      <x:c r="G34" s="22" t="str">
        <x:v>X01或X02完成</x:v>
      </x:c>
      <x:c r="H34" s="22" t="str">
        <x:v>回放初始目标、关键假设、现实变化、再判断、最终取舍</x:v>
      </x:c>
      <x:c r="I34" s="22" t="str">
        <x:v>报告引用真实选择与理由；每局只选2—4个最相关战略问题；不做人格评分</x:v>
      </x:c>
      <x:c r="J34" s="22" t="str"/>
      <x:c r="K34" s="22" t="n">
        <x:v>0</x:v>
      </x:c>
      <x:c r="L34" s="22" t="str">
        <x:v>不收集</x:v>
      </x:c>
      <x:c r="M34" s="22" t="str">
        <x:v>把故事经历映射回课程</x:v>
      </x:c>
      <x:c r="N34" s="22" t="str">
        <x:v>读取route_history、reason_notes、deadline_status、关键flags</x:v>
      </x:c>
      <x:c r="O34" s="22" t="str">
        <x:v>结束/重玩</x:v>
      </x:c>
      <x:c r="P34" s="22" t="str">
        <x:v>完整学生报告</x:v>
      </x:c>
      <x:c r="Q34" s="22" t="str">
        <x:v>Web</x:v>
      </x:c>
      <x:c r="R34" s="22" t="str">
        <x:v>REPORT_WEB</x:v>
      </x:c>
      <x:c r="S34" s="22" t="str">
        <x:v>05_学生复盘与教学映射_FINAL</x:v>
      </x:c>
      <x:c r="T34" s="23" t="str">
        <x:v>框架锁定·待模板实现</x:v>
      </x:c>
    </x:row>
  </x:sheetData>
  <x:conditionalFormatting sqref="B2:B34">
    <x:cfRule type="expression" dxfId="0" priority="1">
      <x:formula>B2="公共"</x:formula>
    </x:cfRule>
    <x:cfRule type="expression" dxfId="1" priority="2">
      <x:formula>B2="共享"</x:formula>
    </x:cfRule>
    <x:cfRule type="expression" dxfId="2" priority="3">
      <x:formula>B2="A"</x:formula>
    </x:cfRule>
    <x:cfRule type="expression" dxfId="3" priority="4">
      <x:formula>B2="B"</x:formula>
    </x:cfRule>
    <x:cfRule type="expression" dxfId="4" priority="5">
      <x:formula>B2="C"</x:formula>
    </x:cfRule>
    <x:cfRule type="expression" dxfId="5" priority="6">
      <x:formula>B2="D"</x:formula>
    </x:cfRule>
  </x:conditionalFormatting>
  <x:dataValidations count="3">
    <x:dataValidation type="list" sqref="B2:B34">
      <x:formula1>"公共,A,B,C,D,共享"</x:formula1>
    </x:dataValidation>
    <x:dataValidation type="list" sqref="D2:D34">
      <x:formula1>"剧情,决策,过渡,结算,报告"</x:formula1>
    </x:dataValidation>
    <x:dataValidation type="list" sqref="Q2:Q34">
      <x:formula1>"既有可复用,完整复用,母版+变体,路线专属,Web"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3963591b814b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8" hidden="0" customWidth="1"/>
    <x:col min="4" max="4" width="34" hidden="0" customWidth="1"/>
    <x:col min="5" max="5" width="38" hidden="0" customWidth="1"/>
    <x:col min="6" max="6" width="22" hidden="0" customWidth="1"/>
    <x:col min="7" max="7" width="38" hidden="0" customWidth="1"/>
    <x:col min="8" max="8" width="28" hidden="0" customWidth="1"/>
    <x:col min="9" max="9" width="42" hidden="0" customWidth="1"/>
    <x:col min="10" max="10" width="16" hidden="0" customWidth="1"/>
    <x:col min="11" max="11" width="28" hidden="0" customWidth="1"/>
    <x:col min="12" max="12" width="34" hidden="0" customWidth="1"/>
  </x:cols>
  <x:sheetData>
    <x:row r="1">
      <x:c r="A1" s="16" t="str">
        <x:v>选项ID</x:v>
      </x:c>
      <x:c r="B1" s="17" t="str">
        <x:v>来源节点</x:v>
      </x:c>
      <x:c r="C1" s="17" t="str">
        <x:v>路线</x:v>
      </x:c>
      <x:c r="D1" s="17" t="str">
        <x:v>最终按钮文案</x:v>
      </x:c>
      <x:c r="E1" s="17" t="str">
        <x:v>理性依据</x:v>
      </x:c>
      <x:c r="F1" s="17" t="str">
        <x:v>优先目标</x:v>
      </x:c>
      <x:c r="G1" s="17" t="str">
        <x:v>明确代价</x:v>
      </x:c>
      <x:c r="H1" s="17" t="str">
        <x:v>时间/结果</x:v>
      </x:c>
      <x:c r="I1" s="17" t="str">
        <x:v>状态更新</x:v>
      </x:c>
      <x:c r="J1" s="17" t="str">
        <x:v>下一节点</x:v>
      </x:c>
      <x:c r="K1" s="17" t="str">
        <x:v>报告标签</x:v>
      </x:c>
      <x:c r="L1" s="18" t="str">
        <x:v>理由记录提示</x:v>
      </x:c>
    </x:row>
    <x:row r="2">
      <x:c r="A2" s="19" t="str">
        <x:v>P06-A</x:v>
      </x:c>
      <x:c r="B2" s="13" t="str">
        <x:v>P06</x:v>
      </x:c>
      <x:c r="C2" s="13" t="str">
        <x:v>公共</x:v>
      </x:c>
      <x:c r="D2" s="13" t="str">
        <x:v>立即翻山</x:v>
      </x:c>
      <x:c r="E2" s="13" t="str">
        <x:v>趁现在出发，用风险换时间</x:v>
      </x:c>
      <x:c r="F2" s="13" t="str">
        <x:v>优先时间优势</x:v>
      </x:c>
      <x:c r="G2" s="13" t="str">
        <x:v>高地风险、伤手暴露</x:v>
      </x:c>
      <x:c r="H2" s="13" t="str">
        <x:v>Day 0出发</x:v>
      </x:c>
      <x:c r="I2" s="13" t="str">
        <x:v>route=A；initial_priority记录</x:v>
      </x:c>
      <x:c r="J2" s="13" t="str">
        <x:v>A01</x:v>
      </x:c>
      <x:c r="K2" s="13" t="str">
        <x:v>初始目标；风险换时间</x:v>
      </x:c>
      <x:c r="L2" s="20" t="str">
        <x:v>必收：时间/可控性/信息/安全/其他</x:v>
      </x:c>
    </x:row>
    <x:row r="3">
      <x:c r="A3" s="19" t="str">
        <x:v>P06-B</x:v>
      </x:c>
      <x:c r="B3" s="13" t="str">
        <x:v>P06</x:v>
      </x:c>
      <x:c r="C3" s="13" t="str">
        <x:v>公共</x:v>
      </x:c>
      <x:c r="D3" s="13" t="str">
        <x:v>走山谷</x:v>
      </x:c>
      <x:c r="E3" s="13" t="str">
        <x:v>山谷危险较低、通常可通，但通常需要2—3周；十四天窗口本来就很紧</x:v>
      </x:c>
      <x:c r="F3" s="13" t="str">
        <x:v>优先可控性与较低行动风险</x:v>
      </x:c>
      <x:c r="G3" s="13" t="str">
        <x:v>期限风险从一开始就存在</x:v>
      </x:c>
      <x:c r="H3" s="13" t="str">
        <x:v>Day 0出发</x:v>
      </x:c>
      <x:c r="I3" s="13" t="str">
        <x:v>route=B；initial_priority记录</x:v>
      </x:c>
      <x:c r="J3" s="13" t="str">
        <x:v>B01</x:v>
      </x:c>
      <x:c r="K3" s="13" t="str">
        <x:v>初始目标；风险类型转换</x:v>
      </x:c>
      <x:c r="L3" s="20" t="str">
        <x:v>必收：时间/可控性/信息/安全/其他</x:v>
      </x:c>
    </x:row>
    <x:row r="4">
      <x:c r="A4" s="19" t="str">
        <x:v>P06-C</x:v>
      </x:c>
      <x:c r="B4" s="13" t="str">
        <x:v>P06</x:v>
      </x:c>
      <x:c r="C4" s="13" t="str">
        <x:v>公共</x:v>
      </x:c>
      <x:c r="D4" s="13" t="str">
        <x:v>先等天气信息</x:v>
      </x:c>
      <x:c r="E4" s="13" t="str">
        <x:v>先用两天换更可靠的判断</x:v>
      </x:c>
      <x:c r="F4" s="13" t="str">
        <x:v>优先信息质量</x:v>
      </x:c>
      <x:c r="G4" s="13" t="str">
        <x:v>直接消耗2天行动空间</x:v>
      </x:c>
      <x:c r="H4" s="13" t="str">
        <x:v>Day 2进入首次信息节点</x:v>
      </x:c>
      <x:c r="I4" s="13" t="str">
        <x:v>route=C；waited_weather=true</x:v>
      </x:c>
      <x:c r="J4" s="13" t="str">
        <x:v>C01</x:v>
      </x:c>
      <x:c r="K4" s="13" t="str">
        <x:v>初始目标；信息价值</x:v>
      </x:c>
      <x:c r="L4" s="20" t="str">
        <x:v>必收：时间/可控性/信息/安全/其他</x:v>
      </x:c>
    </x:row>
    <x:row r="5">
      <x:c r="A5" s="19" t="str">
        <x:v>P06-D</x:v>
      </x:c>
      <x:c r="B5" s="13" t="str">
        <x:v>P06</x:v>
      </x:c>
      <x:c r="C5" s="13" t="str">
        <x:v>公共</x:v>
      </x:c>
      <x:c r="D5" s="13" t="str">
        <x:v>等天气好转后安全返回</x:v>
      </x:c>
      <x:c r="E5" s="13" t="str">
        <x:v>按三至四周的安全等待做准备</x:v>
      </x:c>
      <x:c r="F5" s="13" t="str">
        <x:v>优先安全/生命价值</x:v>
      </x:c>
      <x:c r="G5" s="13" t="str">
        <x:v>主动降低原期限目标优先级</x:v>
      </x:c>
      <x:c r="H5" s="13" t="str">
        <x:v>进入长期等待</x:v>
      </x:c>
      <x:c r="I5" s="13" t="str">
        <x:v>route=D；initial_priority记录</x:v>
      </x:c>
      <x:c r="J5" s="13" t="str">
        <x:v>D01</x:v>
      </x:c>
      <x:c r="K5" s="13" t="str">
        <x:v>初始目标；价值排序</x:v>
      </x:c>
      <x:c r="L5" s="20" t="str">
        <x:v>必收：时间/可控性/信息/安全/其他</x:v>
      </x:c>
    </x:row>
    <x:row r="6">
      <x:c r="A6" s="19" t="str">
        <x:v>A2-1</x:v>
      </x:c>
      <x:c r="B6" s="13" t="str">
        <x:v>A02</x:v>
      </x:c>
      <x:c r="C6" s="13" t="str">
        <x:v>A</x:v>
      </x:c>
      <x:c r="D6" s="13" t="str">
        <x:v>趁还能走，继续推进</x:v>
      </x:c>
      <x:c r="E6" s="13" t="str">
        <x:v>山路仍可走，继续可保住最快路线的时间优势</x:v>
      </x:c>
      <x:c r="F6" s="13" t="str">
        <x:v>优先期限与既有路线</x:v>
      </x:c>
      <x:c r="G6" s="13" t="str">
        <x:v>左手可能进一步限制行动；承诺升级</x:v>
      </x:c>
      <x:c r="H6" s="13" t="str">
        <x:v>到Day4 18:00左右形成A03A</x:v>
      </x:c>
      <x:c r="I6" s="13" t="str">
        <x:v>a2_history=continue；hand=受限；commitment=高</x:v>
      </x:c>
      <x:c r="J6" s="13" t="str">
        <x:v>A03A</x:v>
      </x:c>
      <x:c r="K6" s="13" t="str">
        <x:v>承诺升级；风险更新</x:v>
      </x:c>
      <x:c r="L6" s="20" t="str">
        <x:v>山口还可以走，时间优势值得保住 / 左手问题还能通过分工和照护控制 / 现在退出代价已经太高 / 其他</x:v>
      </x:c>
    </x:row>
    <x:row r="7">
      <x:c r="A7" s="19" t="str">
        <x:v>A2-2</x:v>
      </x:c>
      <x:c r="B7" s="13" t="str">
        <x:v>A02</x:v>
      </x:c>
      <x:c r="C7" s="13" t="str">
        <x:v>A</x:v>
      </x:c>
      <x:c r="D7" s="13" t="str">
        <x:v>进背风处，等最差天气过去</x:v>
      </x:c>
      <x:c r="E7" s="13" t="str">
        <x:v>先保护人员与继续行动能力</x:v>
      </x:c>
      <x:c r="F7" s="13" t="str">
        <x:v>优先人员与执行可持续性</x:v>
      </x:c>
      <x:c r="G7" s="13" t="str">
        <x:v>预计花掉约两天时间缓冲</x:v>
      </x:c>
      <x:c r="H7" s="13" t="str">
        <x:v>到Day5 12:00左右形成A03B</x:v>
      </x:c>
      <x:c r="I7" s="13" t="str">
        <x:v>a2_history=shelter；buffer=变窄；hand=较稳</x:v>
      </x:c>
      <x:c r="J7" s="13" t="str">
        <x:v>A03B</x:v>
      </x:c>
      <x:c r="K7" s="13" t="str">
        <x:v>缓冲价值；风险调整</x:v>
      </x:c>
      <x:c r="L7" s="20" t="str">
        <x:v>天气已超出出发时接受的风险 / 先保住继续行动能力 / 两天时间成本仍可接受 / 其他</x:v>
      </x:c>
    </x:row>
    <x:row r="8">
      <x:c r="A8" s="19" t="str">
        <x:v>A2-3</x:v>
      </x:c>
      <x:c r="B8" s="13" t="str">
        <x:v>A02</x:v>
      </x:c>
      <x:c r="C8" s="13" t="str">
        <x:v>A</x:v>
      </x:c>
      <x:c r="D8" s="13" t="str">
        <x:v>现在撤回，改走山谷</x:v>
      </x:c>
      <x:c r="E8" s="13" t="str">
        <x:v>当前风险已超过可接受边界，或不愿继续追加承诺</x:v>
      </x:c>
      <x:c r="F8" s="13" t="str">
        <x:v>优先止损/人员</x:v>
      </x:c>
      <x:c r="G8" s="13" t="str">
        <x:v>已经花掉的三天不会回来；原窗口基本失去</x:v>
      </x:c>
      <x:c r="H8" s="13" t="str">
        <x:v>约Day21—23返回</x:v>
      </x:c>
      <x:c r="I8" s="13" t="str">
        <x:v>a2_history=retreat；deadline=missed</x:v>
      </x:c>
      <x:c r="J8" s="13" t="str">
        <x:v>A03R</x:v>
      </x:c>
      <x:c r="K8" s="13" t="str">
        <x:v>止损；不可逆性</x:v>
      </x:c>
      <x:c r="L8" s="20" t="str">
        <x:v>风险已超过愿意承担的范围 / 不想因为已走三天就继续加码 / 即使失去窗口也先保人员 / 其他</x:v>
      </x:c>
    </x:row>
    <x:row r="9">
      <x:c r="A9" s="19" t="str">
        <x:v>A4-1</x:v>
      </x:c>
      <x:c r="B9" s="13" t="str">
        <x:v>A04</x:v>
      </x:c>
      <x:c r="C9" s="13" t="str">
        <x:v>A</x:v>
      </x:c>
      <x:c r="D9" s="13" t="str">
        <x:v>按现在的节奏继续</x:v>
      </x:c>
      <x:c r="E9" s="13" t="str">
        <x:v>不改路线，也不再增加停留，把当前山路计划执行到底</x:v>
      </x:c>
      <x:c r="F9" s="13" t="str">
        <x:v>优先完成原目标</x:v>
      </x:c>
      <x:c r="G9" s="13" t="str">
        <x:v>继续承担当前身体/缓冲状态</x:v>
      </x:c>
      <x:c r="H9" s="13" t="str">
        <x:v>若A2继续：Day9 18；若A2暂避：Day11 12</x:v>
      </x:c>
      <x:c r="I9" s="13" t="str">
        <x:v>arrival_time按a2_history计算；deadline=met</x:v>
      </x:c>
      <x:c r="J9" s="13" t="str">
        <x:v>X01</x:v>
      </x:c>
      <x:c r="K9" s="13" t="str">
        <x:v>坚持 vs 承诺升级</x:v>
      </x:c>
      <x:c r="L9" s="20" t="str">
        <x:v>不再单独收集；沿用A02理由</x:v>
      </x:c>
    </x:row>
    <x:row r="10">
      <x:c r="A10" s="19" t="str">
        <x:v>A4-2</x:v>
      </x:c>
      <x:c r="B10" s="13" t="str">
        <x:v>A04</x:v>
      </x:c>
      <x:c r="C10" s="13" t="str">
        <x:v>A</x:v>
      </x:c>
      <x:c r="D10" s="13" t="str">
        <x:v>继续走山路，但把节奏降下来</x:v>
      </x:c>
      <x:c r="E10" s="13" t="str">
        <x:v>给照护与休整更多时间，保留山路方向</x:v>
      </x:c>
      <x:c r="F10" s="13" t="str">
        <x:v>优先可持续执行</x:v>
      </x:c>
      <x:c r="G10" s="13" t="str">
        <x:v>预计比当前计划多花约1天</x:v>
      </x:c>
      <x:c r="H10" s="13" t="str">
        <x:v>若A2继续：Day10 18；若A2暂避：Day12 12</x:v>
      </x:c>
      <x:c r="I10" s="13" t="str">
        <x:v>fatigue降低；arrival_time+1天；deadline=met</x:v>
      </x:c>
      <x:c r="J10" s="13" t="str">
        <x:v>X01</x:v>
      </x:c>
      <x:c r="K10" s="13" t="str">
        <x:v>缓冲、动态调整</x:v>
      </x:c>
      <x:c r="L10" s="20" t="str">
        <x:v>不再单独收集；沿用A02理由</x:v>
      </x:c>
    </x:row>
    <x:row r="11">
      <x:c r="A11" s="19" t="str">
        <x:v>A4-3</x:v>
      </x:c>
      <x:c r="B11" s="13" t="str">
        <x:v>A04</x:v>
      </x:c>
      <x:c r="C11" s="13" t="str">
        <x:v>A</x:v>
      </x:c>
      <x:c r="D11" s="13" t="str">
        <x:v>趁现在还能退，撤回改走山谷</x:v>
      </x:c>
      <x:c r="E11" s="13" t="str">
        <x:v>不因为已经投入很多而继续追加</x:v>
      </x:c>
      <x:c r="F11" s="13" t="str">
        <x:v>优先止损/安全</x:v>
      </x:c>
      <x:c r="G11" s="13" t="str">
        <x:v>前面的投入拿不回来；原十四天窗口基本无法保住</x:v>
      </x:c>
      <x:c r="H11" s="13" t="str">
        <x:v>约Day21—23返回</x:v>
      </x:c>
      <x:c r="I11" s="13" t="str">
        <x:v>late_retreat=true；deadline=missed</x:v>
      </x:c>
      <x:c r="J11" s="13" t="str">
        <x:v>A03R</x:v>
      </x:c>
      <x:c r="K11" s="13" t="str">
        <x:v>沉没成本/退出</x:v>
      </x:c>
      <x:c r="L11" s="20" t="str">
        <x:v>不再单独收集；沿用A02理由</x:v>
      </x:c>
    </x:row>
    <x:row r="12">
      <x:c r="A12" s="19" t="str">
        <x:v>B2-1</x:v>
      </x:c>
      <x:c r="B12" s="13" t="str">
        <x:v>B02</x:v>
      </x:c>
      <x:c r="C12" s="13" t="str">
        <x:v>B</x:v>
      </x:c>
      <x:c r="D12" s="13" t="str">
        <x:v>从今天开始，每天多走一段</x:v>
      </x:c>
      <x:c r="E12" s="13" t="str">
        <x:v>十四天窗口仍值得争取；现在开始调整，代价还相对可控</x:v>
      </x:c>
      <x:c r="F12" s="13" t="str">
        <x:v>优先期限</x:v>
      </x:c>
      <x:c r="G12" s="13" t="str">
        <x:v>压短白天休整、傍晚继续赶路；疲劳与恢复余量下降</x:v>
      </x:c>
      <x:c r="H12" s="13" t="str">
        <x:v>Day9追回约1天</x:v>
      </x:c>
      <x:c r="I12" s="13" t="str">
        <x:v>b_day6=accelerate；fatigue=高</x:v>
      </x:c>
      <x:c r="J12" s="13" t="str">
        <x:v>B03A</x:v>
      </x:c>
      <x:c r="K12" s="13" t="str">
        <x:v>早调整；代价回响</x:v>
      </x:c>
      <x:c r="L12" s="20" t="str">
        <x:v>十四天窗口还值得争取 / 现在开始调整代价还在可控范围 / 队伍当前状态足以承担几天更高强度 / 其他</x:v>
      </x:c>
    </x:row>
    <x:row r="13">
      <x:c r="A13" s="19" t="str">
        <x:v>B2-2</x:v>
      </x:c>
      <x:c r="B13" s="13" t="str">
        <x:v>B02</x:v>
      </x:c>
      <x:c r="C13" s="13" t="str">
        <x:v>B</x:v>
      </x:c>
      <x:c r="D13" s="13" t="str">
        <x:v>维持现在的可持续节奏</x:v>
      </x:c>
      <x:c r="E13" s="13" t="str">
        <x:v>不愿为了期限提前透支队伍；保留山谷方案的可持续性</x:v>
      </x:c>
      <x:c r="F13" s="13" t="str">
        <x:v>优先人员与可持续性</x:v>
      </x:c>
      <x:c r="G13" s="13" t="str">
        <x:v>期限风险继续扩大</x:v>
      </x:c>
      <x:c r="H13" s="13" t="str">
        <x:v>Day9原窗口基本保不住</x:v>
      </x:c>
      <x:c r="I13" s="13" t="str">
        <x:v>b_day6=steady；fatigue=可控</x:v>
      </x:c>
      <x:c r="J13" s="13" t="str">
        <x:v>B03B</x:v>
      </x:c>
      <x:c r="K13" s="13" t="str">
        <x:v>风险转换；选择空间收缩</x:v>
      </x:c>
      <x:c r="L13" s="20" t="str">
        <x:v>不想为了期限提前透支队伍 / 山谷本来就是为了降低执行风险 / 即使错过窗口也更看重稳定返回 / 其他</x:v>
      </x:c>
    </x:row>
    <x:row r="14">
      <x:c r="A14" s="19" t="str">
        <x:v>B4A-1</x:v>
      </x:c>
      <x:c r="B14" s="13" t="str">
        <x:v>B04</x:v>
      </x:c>
      <x:c r="C14" s="13" t="str">
        <x:v>B</x:v>
      </x:c>
      <x:c r="D14" s="13" t="str">
        <x:v>保持这几天的强度，继续赶</x:v>
      </x:c>
      <x:c r="E14" s="13" t="str">
        <x:v>早提速已经追回时间，继续把这部分优势押在期限上</x:v>
      </x:c>
      <x:c r="F14" s="13" t="str">
        <x:v>优先期限</x:v>
      </x:c>
      <x:c r="G14" s="13" t="str">
        <x:v>后面几乎不留恢复余量；疲劳继续积累</x:v>
      </x:c>
      <x:c r="H14" s="13" t="str">
        <x:v>Day13 19:00</x:v>
      </x:c>
      <x:c r="I14" s="13" t="str">
        <x:v>deadline=met；fatigue=高；buffer=低</x:v>
      </x:c>
      <x:c r="J14" s="13" t="str">
        <x:v>X01</x:v>
      </x:c>
      <x:c r="K14" s="13" t="str">
        <x:v>早调整后坚持</x:v>
      </x:c>
      <x:c r="L14" s="20" t="str">
        <x:v>不再单独收集；沿用B02理由</x:v>
      </x:c>
    </x:row>
    <x:row r="15">
      <x:c r="A15" s="19" t="str">
        <x:v>B4A-2</x:v>
      </x:c>
      <x:c r="B15" s="13" t="str">
        <x:v>B04</x:v>
      </x:c>
      <x:c r="C15" s="13" t="str">
        <x:v>B</x:v>
      </x:c>
      <x:c r="D15" s="13" t="str">
        <x:v>把节奏降回可持续状态</x:v>
      </x:c>
      <x:c r="E15" s="13" t="str">
        <x:v>认为继续透支已经不值得，重新保护人员状态</x:v>
      </x:c>
      <x:c r="F15" s="13" t="str">
        <x:v>优先人员状态</x:v>
      </x:c>
      <x:c r="G15" s="13" t="str">
        <x:v>原窗口可能只差一点也赶不上</x:v>
      </x:c>
      <x:c r="H15" s="13" t="str">
        <x:v>Day14 21:00</x:v>
      </x:c>
      <x:c r="I15" s="13" t="str">
        <x:v>deadline=missed；fatigue=中</x:v>
      </x:c>
      <x:c r="J15" s="13" t="str">
        <x:v>X01</x:v>
      </x:c>
      <x:c r="K15" s="13" t="str">
        <x:v>早调整后再调整</x:v>
      </x:c>
      <x:c r="L15" s="20" t="str">
        <x:v>不再单独收集；沿用B02理由</x:v>
      </x:c>
    </x:row>
    <x:row r="16">
      <x:c r="A16" s="19" t="str">
        <x:v>B4B-1</x:v>
      </x:c>
      <x:c r="B16" s="13" t="str">
        <x:v>B04</x:v>
      </x:c>
      <x:c r="C16" s="13" t="str">
        <x:v>B</x:v>
      </x:c>
      <x:c r="D16" s="13" t="str">
        <x:v>现在开始最后冲刺</x:v>
      </x:c>
      <x:c r="E16" s="13" t="str">
        <x:v>虽然调整已晚，仍愿意用更高强度争取最后几个小时</x:v>
      </x:c>
      <x:c r="F16" s="13" t="str">
        <x:v>优先最后窗口</x:v>
      </x:c>
      <x:c r="G16" s="13" t="str">
        <x:v>天亮前出发、减少长休整；几乎没有恢复余量</x:v>
      </x:c>
      <x:c r="H16" s="13" t="str">
        <x:v>Day14 01:00</x:v>
      </x:c>
      <x:c r="I16" s="13" t="str">
        <x:v>deadline=met；fatigue=很高；buffer≈0</x:v>
      </x:c>
      <x:c r="J16" s="13" t="str">
        <x:v>X01</x:v>
      </x:c>
      <x:c r="K16" s="13" t="str">
        <x:v>晚调整成本</x:v>
      </x:c>
      <x:c r="L16" s="20" t="str">
        <x:v>不再单独收集；沿用B02理由</x:v>
      </x:c>
    </x:row>
    <x:row r="17">
      <x:c r="A17" s="19" t="str">
        <x:v>B4B-2</x:v>
      </x:c>
      <x:c r="B17" s="13" t="str">
        <x:v>B04</x:v>
      </x:c>
      <x:c r="C17" s="13" t="str">
        <x:v>B</x:v>
      </x:c>
      <x:c r="D17" s="13" t="str">
        <x:v>继续按现在的节奏走完</x:v>
      </x:c>
      <x:c r="E17" s="13" t="str">
        <x:v>不再为了窗口透支队伍，接受较晚返回</x:v>
      </x:c>
      <x:c r="F17" s="13" t="str">
        <x:v>优先可持续性</x:v>
      </x:c>
      <x:c r="G17" s="13" t="str">
        <x:v>明确失去原十四天窗口</x:v>
      </x:c>
      <x:c r="H17" s="13" t="str">
        <x:v>Day16 09:00</x:v>
      </x:c>
      <x:c r="I17" s="13" t="str">
        <x:v>deadline=missed；fatigue=较低</x:v>
      </x:c>
      <x:c r="J17" s="13" t="str">
        <x:v>X01</x:v>
      </x:c>
      <x:c r="K17" s="13" t="str">
        <x:v>主动接受目标降级</x:v>
      </x:c>
      <x:c r="L17" s="20" t="str">
        <x:v>不再单独收集；沿用B02理由</x:v>
      </x:c>
    </x:row>
    <x:row r="18">
      <x:c r="A18" s="19" t="str">
        <x:v>C2-1</x:v>
      </x:c>
      <x:c r="B18" s="13" t="str">
        <x:v>C02</x:v>
      </x:c>
      <x:c r="C18" s="13" t="str">
        <x:v>C</x:v>
      </x:c>
      <x:c r="D18" s="13" t="str">
        <x:v>再等一天，拿到更完整的山路判断</x:v>
      </x:c>
      <x:c r="E18" s="13" t="str">
        <x:v>现有信息仍不足以决定是否走山路；多花一天换更可靠的通行判断</x:v>
      </x:c>
      <x:c r="F18" s="13" t="str">
        <x:v>优先信息质量</x:v>
      </x:c>
      <x:c r="G18" s="13" t="str">
        <x:v>再花1天；只剩约11天</x:v>
      </x:c>
      <x:c r="H18" s="13" t="str">
        <x:v>Day3进入C03</x:v>
      </x:c>
      <x:c r="I18" s="13" t="str">
        <x:v>info=passability_updated；buffer减少1天</x:v>
      </x:c>
      <x:c r="J18" s="13" t="str">
        <x:v>C03</x:v>
      </x:c>
      <x:c r="K18" s="13" t="str">
        <x:v>继续收集信息</x:v>
      </x:c>
      <x:c r="L18" s="20" t="str">
        <x:v>现在的信息还不足以让我决定是否走山路 / 多花一天值得换更可靠的通行判断 / 想尽量避免在关键天气上押错 / 其他</x:v>
      </x:c>
    </x:row>
    <x:row r="19">
      <x:c r="A19" s="19" t="str">
        <x:v>C2-2</x:v>
      </x:c>
      <x:c r="B19" s="13" t="str">
        <x:v>C02</x:v>
      </x:c>
      <x:c r="C19" s="13" t="str">
        <x:v>C</x:v>
      </x:c>
      <x:c r="D19" s="13" t="str">
        <x:v>现在转山谷，不再继续等</x:v>
      </x:c>
      <x:c r="E19" s="13" t="str">
        <x:v>确认有暴风已经足够改变行动，不再继续为山路信息付费</x:v>
      </x:c>
      <x:c r="F19" s="13" t="str">
        <x:v>优先降低山地风险</x:v>
      </x:c>
      <x:c r="G19" s="13" t="str">
        <x:v>从Day2才开始慢路线；原窗口基本无法保住</x:v>
      </x:c>
      <x:c r="H19" s="13" t="str">
        <x:v>约Day18返回</x:v>
      </x:c>
      <x:c r="I19" s="13" t="str">
        <x:v>route_history=C&gt;等待2天&gt;谷地；deadline=missed</x:v>
      </x:c>
      <x:c r="J19" s="13" t="str">
        <x:v>C04V</x:v>
      </x:c>
      <x:c r="K19" s="13" t="str">
        <x:v>何时停止等待</x:v>
      </x:c>
      <x:c r="L19" s="20" t="str">
        <x:v>确认有暴风已经足够改变路线 / 不愿继续为山路信息花时间 / 即使错过窗口也更愿意降低高地风险 / 其他</x:v>
      </x:c>
    </x:row>
    <x:row r="20">
      <x:c r="A20" s="19" t="str">
        <x:v>C3-1</x:v>
      </x:c>
      <x:c r="B20" s="13" t="str">
        <x:v>C03</x:v>
      </x:c>
      <x:c r="C20" s="13" t="str">
        <x:v>C</x:v>
      </x:c>
      <x:c r="D20" s="13" t="str">
        <x:v>按这份判断走山路</x:v>
      </x:c>
      <x:c r="E20" s="13" t="str">
        <x:v>信息已经足够支持行动，接受山路仍存在的剩余风险</x:v>
      </x:c>
      <x:c r="F20" s="13" t="str">
        <x:v>优先把信息转化为行动</x:v>
      </x:c>
      <x:c r="G20" s="13" t="str">
        <x:v>只剩约11天；仍存在剩余不确定性</x:v>
      </x:c>
      <x:c r="H20" s="13" t="str">
        <x:v>Day3进入山路</x:v>
      </x:c>
      <x:c r="I20" s="13" t="str">
        <x:v>route_history=C&gt;等待3天&gt;山路；commitment=中</x:v>
      </x:c>
      <x:c r="J20" s="13" t="str">
        <x:v>C04M</x:v>
      </x:c>
      <x:c r="K20" s="13" t="str">
        <x:v>从分析到行动</x:v>
      </x:c>
      <x:c r="L20" s="20" t="str">
        <x:v>不再单独收集；沿用C02理由</x:v>
      </x:c>
    </x:row>
    <x:row r="21">
      <x:c r="A21" s="19" t="str">
        <x:v>C3-2</x:v>
      </x:c>
      <x:c r="B21" s="13" t="str">
        <x:v>C03</x:v>
      </x:c>
      <x:c r="C21" s="13" t="str">
        <x:v>C</x:v>
      </x:c>
      <x:c r="D21" s="13" t="str">
        <x:v>改走山谷</x:v>
      </x:c>
      <x:c r="E21" s="13" t="str">
        <x:v>即便山路未封死，也不愿承担剩余高地风险</x:v>
      </x:c>
      <x:c r="F21" s="13" t="str">
        <x:v>优先降低高地风险</x:v>
      </x:c>
      <x:c r="G21" s="13" t="str">
        <x:v>Day3才进入谷地；明确超期</x:v>
      </x:c>
      <x:c r="H21" s="13" t="str">
        <x:v>约Day19返回</x:v>
      </x:c>
      <x:c r="I21" s="13" t="str">
        <x:v>route_history=C&gt;等待3天&gt;谷地；deadline=missed</x:v>
      </x:c>
      <x:c r="J21" s="13" t="str">
        <x:v>C04V</x:v>
      </x:c>
      <x:c r="K21" s="13" t="str">
        <x:v>信息改变路线；目标降级</x:v>
      </x:c>
      <x:c r="L21" s="20" t="str">
        <x:v>不再单独收集；沿用C02理由</x:v>
      </x:c>
    </x:row>
    <x:row r="22">
      <x:c r="A22" s="19" t="str">
        <x:v>C3-3</x:v>
      </x:c>
      <x:c r="B22" s="13" t="str">
        <x:v>C03</x:v>
      </x:c>
      <x:c r="C22" s="13" t="str">
        <x:v>C</x:v>
      </x:c>
      <x:c r="D22" s="13" t="str">
        <x:v>不再争这十四天，转向安全安排</x:v>
      </x:c>
      <x:c r="E22" s="13" t="str">
        <x:v>认为剩余时间与风险已不值得继续换取原机会</x:v>
      </x:c>
      <x:c r="F22" s="13" t="str">
        <x:v>优先安全/退出</x:v>
      </x:c>
      <x:c r="G22" s="13" t="str">
        <x:v>主动放弃原窗口</x:v>
      </x:c>
      <x:c r="H22" s="13" t="str">
        <x:v>进入安全安排</x:v>
      </x:c>
      <x:c r="I22" s="13" t="str">
        <x:v>deadline=abandoned；route_history=C&gt;安全安排</x:v>
      </x:c>
      <x:c r="J22" s="13" t="str">
        <x:v>X02</x:v>
      </x:c>
      <x:c r="K22" s="13" t="str">
        <x:v>主动退出</x:v>
      </x:c>
      <x:c r="L22" s="20" t="str">
        <x:v>不再单独收集；沿用C02理由</x:v>
      </x:c>
    </x:row>
    <x:row r="23">
      <x:c r="A23" s="19" t="str">
        <x:v>C6-1</x:v>
      </x:c>
      <x:c r="B23" s="13" t="str">
        <x:v>C06</x:v>
      </x:c>
      <x:c r="C23" s="13" t="str">
        <x:v>C</x:v>
      </x:c>
      <x:c r="D23" s="13" t="str">
        <x:v>继续按原计划推进</x:v>
      </x:c>
      <x:c r="E23" s="13" t="str">
        <x:v>现场偏差不足以推翻Day3判断，保留更多时间余量</x:v>
      </x:c>
      <x:c r="F23" s="13" t="str">
        <x:v>优先执行既有判断</x:v>
      </x:c>
      <x:c r="G23" s="13" t="str">
        <x:v>继续承担现场剩余风险</x:v>
      </x:c>
      <x:c r="H23" s="13" t="str">
        <x:v>Day11 21:00</x:v>
      </x:c>
      <x:c r="I23" s="13" t="str">
        <x:v>deadline=met；info=field_updated</x:v>
      </x:c>
      <x:c r="J23" s="13" t="str">
        <x:v>X01</x:v>
      </x:c>
      <x:c r="K23" s="13" t="str">
        <x:v>旧判断仍有效</x:v>
      </x:c>
      <x:c r="L23" s="20" t="str">
        <x:v>不再单独收集；记录“坚持旧判断”</x:v>
      </x:c>
    </x:row>
    <x:row r="24">
      <x:c r="A24" s="19" t="str">
        <x:v>C6-2</x:v>
      </x:c>
      <x:c r="B24" s="13" t="str">
        <x:v>C06</x:v>
      </x:c>
      <x:c r="C24" s="13" t="str">
        <x:v>C</x:v>
      </x:c>
      <x:c r="D24" s="13" t="str">
        <x:v>把节奏放慢，增加观察和缓冲</x:v>
      </x:c>
      <x:c r="E24" s="13" t="str">
        <x:v>新信息值得更新计划，但不必完全推翻原判断</x:v>
      </x:c>
      <x:c r="F24" s="13" t="str">
        <x:v>优先动态调整与缓冲</x:v>
      </x:c>
      <x:c r="G24" s="13" t="str">
        <x:v>吃掉大部分剩余时间余量</x:v>
      </x:c>
      <x:c r="H24" s="13" t="str">
        <x:v>Day13 09:00</x:v>
      </x:c>
      <x:c r="I24" s="13" t="str">
        <x:v>deadline=met；buffer≈24小时；info=field_updated</x:v>
      </x:c>
      <x:c r="J24" s="13" t="str">
        <x:v>X01</x:v>
      </x:c>
      <x:c r="K24" s="13" t="str">
        <x:v>信息更新、缓冲价值</x:v>
      </x:c>
      <x:c r="L24" s="20" t="str">
        <x:v>不再单独收集；记录“更新旧判断”</x:v>
      </x:c>
    </x:row>
    <x:row r="25">
      <x:c r="A25" s="19" t="str">
        <x:v>C6-3</x:v>
      </x:c>
      <x:c r="B25" s="13" t="str">
        <x:v>C06</x:v>
      </x:c>
      <x:c r="C25" s="13" t="str">
        <x:v>C</x:v>
      </x:c>
      <x:c r="D25" s="13" t="str">
        <x:v>停止继续走高地，改走更低风险路线</x:v>
      </x:c>
      <x:c r="E25" s="13" t="str">
        <x:v>现场证据已经足以推翻原山路判断</x:v>
      </x:c>
      <x:c r="F25" s="13" t="str">
        <x:v>优先止损/风险边界</x:v>
      </x:c>
      <x:c r="G25" s="13" t="str">
        <x:v>原窗口基本无法保住</x:v>
      </x:c>
      <x:c r="H25" s="13" t="str">
        <x:v>原窗口已失去；学生端不显示精确到达日</x:v>
      </x:c>
      <x:c r="I25" s="13" t="str">
        <x:v>route_history=C&gt;山路&gt;改路；deadline=missed</x:v>
      </x:c>
      <x:c r="J25" s="13" t="str">
        <x:v>C04V</x:v>
      </x:c>
      <x:c r="K25" s="13" t="str">
        <x:v>更新判断、退出旧承诺</x:v>
      </x:c>
      <x:c r="L25" s="20" t="str">
        <x:v>不再单独收集；记录“推翻旧判断”</x:v>
      </x:c>
    </x:row>
    <x:row r="26">
      <x:c r="A26" s="19" t="str">
        <x:v>D3-1</x:v>
      </x:c>
      <x:c r="B26" s="13" t="str">
        <x:v>D03</x:v>
      </x:c>
      <x:c r="C26" s="13" t="str">
        <x:v>D</x:v>
      </x:c>
      <x:c r="D26" s="13" t="str">
        <x:v>继续按安全等待的安排走</x:v>
      </x:c>
      <x:c r="E26" s="13" t="str">
        <x:v>这次改善仍不足以改变原来的生命风险排序</x:v>
      </x:c>
      <x:c r="F26" s="13" t="str">
        <x:v>优先安全与人员</x:v>
      </x:c>
      <x:c r="G26" s="13" t="str">
        <x:v>原购买窗口明确被放弃</x:v>
      </x:c>
      <x:c r="H26" s="13" t="str">
        <x:v>约Day40安全返回（尾声参数）</x:v>
      </x:c>
      <x:c r="I26" s="13" t="str">
        <x:v>deadline=abandoned；route_history=D&gt;安全等待</x:v>
      </x:c>
      <x:c r="J26" s="13" t="str">
        <x:v>D04A</x:v>
      </x:c>
      <x:c r="K26" s="13" t="str">
        <x:v>战略一致性、主动放弃</x:v>
      </x:c>
      <x:c r="L26" s="20" t="str">
        <x:v>改善不足以重新承担山地风险 / 安全目标没有变 / 剩余时间太窄不值得重入高风险路线 / 其他</x:v>
      </x:c>
    </x:row>
    <x:row r="27">
      <x:c r="A27" s="19" t="str">
        <x:v>D3-2</x:v>
      </x:c>
      <x:c r="B27" s="13" t="str">
        <x:v>D03</x:v>
      </x:c>
      <x:c r="C27" s="13" t="str">
        <x:v>D</x:v>
      </x:c>
      <x:c r="D27" s="13" t="str">
        <x:v>利用这次天气窗口，重新走山路</x:v>
      </x:c>
      <x:c r="E27" s="13" t="str">
        <x:v>天气和身体状态已经改变了原先等待的部分依据</x:v>
      </x:c>
      <x:c r="F27" s="13" t="str">
        <x:v>优先重新打开机会</x:v>
      </x:c>
      <x:c r="G27" s="13" t="str">
        <x:v>已花约5天；后期容错极低</x:v>
      </x:c>
      <x:c r="H27" s="13" t="str">
        <x:v>Day5—6进入晚状态山路</x:v>
      </x:c>
      <x:c r="I27" s="13" t="str">
        <x:v>reversed_strategy=true；buffer=极窄</x:v>
      </x:c>
      <x:c r="J27" s="13" t="str">
        <x:v>D04B</x:v>
      </x:c>
      <x:c r="K27" s="13" t="str">
        <x:v>战略反转、反转成本</x:v>
      </x:c>
      <x:c r="L27" s="20" t="str">
        <x:v>天气变化改变了等待依据 / 身体恢复后更能利用窗口 / 虽然时间很窄但机会重新值得争取 / 其他</x:v>
      </x:c>
    </x:row>
    <x:row r="28">
      <x:c r="A28" s="19" t="str">
        <x:v>D5-1</x:v>
      </x:c>
      <x:c r="B28" s="13" t="str">
        <x:v>D05</x:v>
      </x:c>
      <x:c r="C28" s="13" t="str">
        <x:v>D</x:v>
      </x:c>
      <x:c r="D28" s="13" t="str">
        <x:v>保持较快节奏，继续争取窗口</x:v>
      </x:c>
      <x:c r="E28" s="13" t="str">
        <x:v>反转理由仍成立，愿意把新战略执行到底</x:v>
      </x:c>
      <x:c r="F28" s="13" t="str">
        <x:v>优先最后窗口</x:v>
      </x:c>
      <x:c r="G28" s="13" t="str">
        <x:v>几乎没有新的调整余量；疲劳继续累积</x:v>
      </x:c>
      <x:c r="H28" s="13" t="str">
        <x:v>Day14 03:00</x:v>
      </x:c>
      <x:c r="I28" s="13" t="str">
        <x:v>deadline=met；buffer≈6小时</x:v>
      </x:c>
      <x:c r="J28" s="13" t="str">
        <x:v>X01</x:v>
      </x:c>
      <x:c r="K28" s="13" t="str">
        <x:v>反转后坚持</x:v>
      </x:c>
      <x:c r="L28" s="20" t="str">
        <x:v>不再单独收集；沿用D03理由</x:v>
      </x:c>
    </x:row>
    <x:row r="29">
      <x:c r="A29" s="21" t="str">
        <x:v>D5-2</x:v>
      </x:c>
      <x:c r="B29" s="22" t="str">
        <x:v>D05</x:v>
      </x:c>
      <x:c r="C29" s="22" t="str">
        <x:v>D</x:v>
      </x:c>
      <x:c r="D29" s="22" t="str">
        <x:v>把节奏降下来，重新把人员安全放第一</x:v>
      </x:c>
      <x:c r="E29" s="22" t="str">
        <x:v>新的执行代价使风险边界再次改变</x:v>
      </x:c>
      <x:c r="F29" s="22" t="str">
        <x:v>优先人员安全</x:v>
      </x:c>
      <x:c r="G29" s="22" t="str">
        <x:v>不再用身体状态换最后几个小时；原窗口过去</x:v>
      </x:c>
      <x:c r="H29" s="22" t="str">
        <x:v>Day14 18:00</x:v>
      </x:c>
      <x:c r="I29" s="22" t="str">
        <x:v>deadline=missed；people=protected</x:v>
      </x:c>
      <x:c r="J29" s="22" t="str">
        <x:v>X01</x:v>
      </x:c>
      <x:c r="K29" s="22" t="str">
        <x:v>反转后再次调整</x:v>
      </x:c>
      <x:c r="L29" s="23" t="str">
        <x:v>不再单独收集；沿用D03理由</x:v>
      </x:c>
    </x:row>
  </x:sheetData>
  <x:conditionalFormatting sqref="C2:C29">
    <x:cfRule type="expression" dxfId="6" priority="1">
      <x:formula>C2="公共"</x:formula>
    </x:cfRule>
    <x:cfRule type="expression" dxfId="7" priority="2">
      <x:formula>C2="共享"</x:formula>
    </x:cfRule>
    <x:cfRule type="expression" dxfId="8" priority="3">
      <x:formula>C2="A"</x:formula>
    </x:cfRule>
    <x:cfRule type="expression" dxfId="9" priority="4">
      <x:formula>C2="B"</x:formula>
    </x:cfRule>
    <x:cfRule type="expression" dxfId="10" priority="5">
      <x:formula>C2="C"</x:formula>
    </x:cfRule>
    <x:cfRule type="expression" dxfId="11" priority="6">
      <x:formula>C2="D"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adfd31502146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22" hidden="0" customWidth="1"/>
    <x:col min="5" max="5" width="14" hidden="0" customWidth="1"/>
    <x:col min="6" max="6" width="32" hidden="0" customWidth="1"/>
    <x:col min="7" max="7" width="34" hidden="0" customWidth="1"/>
    <x:col min="8" max="8" width="46" hidden="0" customWidth="1"/>
    <x:col min="9" max="9" width="14" hidden="0" customWidth="1"/>
    <x:col min="10" max="10" width="30" hidden="0" customWidth="1"/>
  </x:cols>
  <x:sheetData>
    <x:row r="1">
      <x:c r="A1" s="16" t="str">
        <x:v>路径ID</x:v>
      </x:c>
      <x:c r="B1" s="17" t="str">
        <x:v>路径名称</x:v>
      </x:c>
      <x:c r="C1" s="17" t="str">
        <x:v>选择序列</x:v>
      </x:c>
      <x:c r="D1" s="17" t="str">
        <x:v>完成/返程时间</x:v>
      </x:c>
      <x:c r="E1" s="17" t="str">
        <x:v>期限结果</x:v>
      </x:c>
      <x:c r="F1" s="17" t="str">
        <x:v>人员/能力状态</x:v>
      </x:c>
      <x:c r="G1" s="17" t="str">
        <x:v>核心取舍</x:v>
      </x:c>
      <x:c r="H1" s="17" t="str">
        <x:v>推荐复盘问题</x:v>
      </x:c>
      <x:c r="I1" s="18" t="str">
        <x:v>结算节点</x:v>
      </x:c>
      <x:c r="J1" s="62" t="str">
        <x:v>学生端时间显示</x:v>
      </x:c>
    </x:row>
    <x:row r="2">
      <x:c r="A2" s="19" t="str">
        <x:v>A-01</x:v>
      </x:c>
      <x:c r="B2" s="13" t="str">
        <x:v>A翻山→继续→保持节奏</x:v>
      </x:c>
      <x:c r="C2" s="13" t="str">
        <x:v>P06-A &gt; A2-1 &gt; A4-1</x:v>
      </x:c>
      <x:c r="D2" s="13" t="str">
        <x:v>Day 9 18:00</x:v>
      </x:c>
      <x:c r="E2" s="13" t="str">
        <x:v>按期</x:v>
      </x:c>
      <x:c r="F2" s="13" t="str">
        <x:v>伤手受限、时间余量仍较大</x:v>
      </x:c>
      <x:c r="G2" s="13" t="str">
        <x:v>时间换风险；承诺升级</x:v>
      </x:c>
      <x:c r="H2" s="13" t="str">
        <x:v>已投入很多是不是继续的理由？</x:v>
      </x:c>
      <x:c r="I2" s="20" t="str">
        <x:v>X01</x:v>
      </x:c>
      <x:c r="J2" s="12" t="str">
        <x:v>Day 9 18:00</x:v>
      </x:c>
    </x:row>
    <x:row r="3">
      <x:c r="A3" s="19" t="str">
        <x:v>A-02</x:v>
      </x:c>
      <x:c r="B3" s="13" t="str">
        <x:v>A翻山→继续→主动降速</x:v>
      </x:c>
      <x:c r="C3" s="13" t="str">
        <x:v>P06-A &gt; A2-1 &gt; A4-2</x:v>
      </x:c>
      <x:c r="D3" s="13" t="str">
        <x:v>Day 10 18:00</x:v>
      </x:c>
      <x:c r="E3" s="13" t="str">
        <x:v>按期</x:v>
      </x:c>
      <x:c r="F3" s="13" t="str">
        <x:v>伤手受限，但执行更可持续</x:v>
      </x:c>
      <x:c r="G3" s="13" t="str">
        <x:v>保目标但调整执行</x:v>
      </x:c>
      <x:c r="H3" s="13" t="str">
        <x:v>战略一致性是否允许降速？</x:v>
      </x:c>
      <x:c r="I3" s="20" t="str">
        <x:v>X01</x:v>
      </x:c>
      <x:c r="J3" s="12" t="str">
        <x:v>Day 10 18:00</x:v>
      </x:c>
    </x:row>
    <x:row r="4">
      <x:c r="A4" s="19" t="str">
        <x:v>A-03</x:v>
      </x:c>
      <x:c r="B4" s="13" t="str">
        <x:v>A翻山→暂避→保持节奏</x:v>
      </x:c>
      <x:c r="C4" s="13" t="str">
        <x:v>P06-A &gt; A2-2 &gt; A4-1</x:v>
      </x:c>
      <x:c r="D4" s="13" t="str">
        <x:v>Day 11 12:00</x:v>
      </x:c>
      <x:c r="E4" s="13" t="str">
        <x:v>按期</x:v>
      </x:c>
      <x:c r="F4" s="13" t="str">
        <x:v>身体更稳、时间缓冲明显变窄</x:v>
      </x:c>
      <x:c r="G4" s="13" t="str">
        <x:v>安全换时间</x:v>
      </x:c>
      <x:c r="H4" s="13" t="str">
        <x:v>保留缓冲是不是战略资源？</x:v>
      </x:c>
      <x:c r="I4" s="20" t="str">
        <x:v>X01</x:v>
      </x:c>
      <x:c r="J4" s="12" t="str">
        <x:v>Day 11 12:00</x:v>
      </x:c>
    </x:row>
    <x:row r="5">
      <x:c r="A5" s="19" t="str">
        <x:v>A-04</x:v>
      </x:c>
      <x:c r="B5" s="13" t="str">
        <x:v>A翻山→暂避→再降速</x:v>
      </x:c>
      <x:c r="C5" s="13" t="str">
        <x:v>P06-A &gt; A2-2 &gt; A4-2</x:v>
      </x:c>
      <x:c r="D5" s="13" t="str">
        <x:v>Day 12 12:00</x:v>
      </x:c>
      <x:c r="E5" s="13" t="str">
        <x:v>按期</x:v>
      </x:c>
      <x:c r="F5" s="13" t="str">
        <x:v>身体最好但余量最小</x:v>
      </x:c>
      <x:c r="G5" s="13" t="str">
        <x:v>两次降低风险都会花时间</x:v>
      </x:c>
      <x:c r="H5" s="13" t="str">
        <x:v>降低一种风险会不会放大另一种？</x:v>
      </x:c>
      <x:c r="I5" s="20" t="str">
        <x:v>X01</x:v>
      </x:c>
      <x:c r="J5" s="12" t="str">
        <x:v>Day 12 12:00</x:v>
      </x:c>
    </x:row>
    <x:row r="6">
      <x:c r="A6" s="19" t="str">
        <x:v>A-05</x:v>
      </x:c>
      <x:c r="B6" s="13" t="str">
        <x:v>A翻山→中途撤回转谷地</x:v>
      </x:c>
      <x:c r="C6" s="13" t="str">
        <x:v>P06-A &gt; A2-3 或 A4-3</x:v>
      </x:c>
      <x:c r="D6" s="13" t="str">
        <x:v>约Day21—23</x:v>
      </x:c>
      <x:c r="E6" s="13" t="str">
        <x:v>超期</x:v>
      </x:c>
      <x:c r="F6" s="13" t="str">
        <x:v>人员风险下降，但机会窗口失去</x:v>
      </x:c>
      <x:c r="G6" s="13" t="str">
        <x:v>止损 vs 已投入成本</x:v>
      </x:c>
      <x:c r="H6" s="13" t="str">
        <x:v>已经投入很多，是继续的理由吗？</x:v>
      </x:c>
      <x:c r="I6" s="20" t="str">
        <x:v>X01</x:v>
      </x:c>
      <x:c r="J6" s="12" t="str">
        <x:v>原窗口已失去（不显示精确返程日）</x:v>
      </x:c>
    </x:row>
    <x:row r="7">
      <x:c r="A7" s="19" t="str">
        <x:v>B-01</x:v>
      </x:c>
      <x:c r="B7" s="13" t="str">
        <x:v>B山谷→Day6提速→继续高强度</x:v>
      </x:c>
      <x:c r="C7" s="13" t="str">
        <x:v>P06-B &gt; B2-1 &gt; B4A-1</x:v>
      </x:c>
      <x:c r="D7" s="13" t="str">
        <x:v>Day 13 19:00</x:v>
      </x:c>
      <x:c r="E7" s="13" t="str">
        <x:v>按期</x:v>
      </x:c>
      <x:c r="F7" s="13" t="str">
        <x:v>疲劳高、缓冲很低</x:v>
      </x:c>
      <x:c r="G7" s="13" t="str">
        <x:v>较早调整换回期限</x:v>
      </x:c>
      <x:c r="H7" s="13" t="str">
        <x:v>为什么越晚调整越贵？</x:v>
      </x:c>
      <x:c r="I7" s="20" t="str">
        <x:v>X01</x:v>
      </x:c>
      <x:c r="J7" s="12" t="str">
        <x:v>Day 13 19:00</x:v>
      </x:c>
    </x:row>
    <x:row r="8">
      <x:c r="A8" s="19" t="str">
        <x:v>B-02</x:v>
      </x:c>
      <x:c r="B8" s="13" t="str">
        <x:v>B山谷→Day6提速→Day9恢复节奏</x:v>
      </x:c>
      <x:c r="C8" s="13" t="str">
        <x:v>P06-B &gt; B2-1 &gt; B4A-2</x:v>
      </x:c>
      <x:c r="D8" s="13" t="str">
        <x:v>Day 14 21:00</x:v>
      </x:c>
      <x:c r="E8" s="13" t="str">
        <x:v>超期</x:v>
      </x:c>
      <x:c r="F8" s="13" t="str">
        <x:v>人员状态得到保护</x:v>
      </x:c>
      <x:c r="G8" s="13" t="str">
        <x:v>先追回时间，再主动停止透支</x:v>
      </x:c>
      <x:c r="H8" s="13" t="str">
        <x:v>执行稳定和完成目标是一回事吗？</x:v>
      </x:c>
      <x:c r="I8" s="20" t="str">
        <x:v>X01</x:v>
      </x:c>
      <x:c r="J8" s="12" t="str">
        <x:v>Day 14 21:00</x:v>
      </x:c>
    </x:row>
    <x:row r="9">
      <x:c r="A9" s="19" t="str">
        <x:v>B-03</x:v>
      </x:c>
      <x:c r="B9" s="13" t="str">
        <x:v>B山谷→一直稳走→Day9最后冲刺</x:v>
      </x:c>
      <x:c r="C9" s="13" t="str">
        <x:v>P06-B &gt; B2-2 &gt; B4B-1</x:v>
      </x:c>
      <x:c r="D9" s="13" t="str">
        <x:v>Day 14 01:00</x:v>
      </x:c>
      <x:c r="E9" s="13" t="str">
        <x:v>按期</x:v>
      </x:c>
      <x:c r="F9" s="13" t="str">
        <x:v>疲劳极高、几乎无缓冲</x:v>
      </x:c>
      <x:c r="G9" s="13" t="str">
        <x:v>晚调整仍能救，但成本暴涨</x:v>
      </x:c>
      <x:c r="H9" s="13" t="str">
        <x:v>同一个动作为什么晚做更贵？</x:v>
      </x:c>
      <x:c r="I9" s="20" t="str">
        <x:v>X01</x:v>
      </x:c>
      <x:c r="J9" s="12" t="str">
        <x:v>Day 14 01:00</x:v>
      </x:c>
    </x:row>
    <x:row r="10">
      <x:c r="A10" s="19" t="str">
        <x:v>B-04</x:v>
      </x:c>
      <x:c r="B10" s="13" t="str">
        <x:v>B山谷→始终稳走</x:v>
      </x:c>
      <x:c r="C10" s="13" t="str">
        <x:v>P06-B &gt; B2-2 &gt; B4B-2</x:v>
      </x:c>
      <x:c r="D10" s="13" t="str">
        <x:v>Day 16 09:00</x:v>
      </x:c>
      <x:c r="E10" s="13" t="str">
        <x:v>超期</x:v>
      </x:c>
      <x:c r="F10" s="13" t="str">
        <x:v>人员状态最好</x:v>
      </x:c>
      <x:c r="G10" s="13" t="str">
        <x:v>稳妥路径与目标失配</x:v>
      </x:c>
      <x:c r="H10" s="13" t="str">
        <x:v>更稳的路径如果实现不了目标还算好战略吗？</x:v>
      </x:c>
      <x:c r="I10" s="20" t="str">
        <x:v>X01</x:v>
      </x:c>
      <x:c r="J10" s="12" t="str">
        <x:v>Day 16 09:00</x:v>
      </x:c>
    </x:row>
    <x:row r="11">
      <x:c r="A11" s="19" t="str">
        <x:v>C-01</x:v>
      </x:c>
      <x:c r="B11" s="13" t="str">
        <x:v>C等2天→转谷地</x:v>
      </x:c>
      <x:c r="C11" s="13" t="str">
        <x:v>P06-C &gt; C2-2</x:v>
      </x:c>
      <x:c r="D11" s="13" t="str">
        <x:v>约Day18</x:v>
      </x:c>
      <x:c r="E11" s="13" t="str">
        <x:v>超期</x:v>
      </x:c>
      <x:c r="F11" s="13" t="str">
        <x:v>高地风险降低</x:v>
      </x:c>
      <x:c r="G11" s="13" t="str">
        <x:v>2天信息足以改变路线，但时间成本已发生</x:v>
      </x:c>
      <x:c r="H11" s="13" t="str">
        <x:v>什么时候信息已经够用？</x:v>
      </x:c>
      <x:c r="I11" s="20" t="str">
        <x:v>X01</x:v>
      </x:c>
      <x:c r="J11" s="12" t="str">
        <x:v>原窗口已失去（不显示精确返程日）</x:v>
      </x:c>
    </x:row>
    <x:row r="12">
      <x:c r="A12" s="19" t="str">
        <x:v>C-02</x:v>
      </x:c>
      <x:c r="B12" s="13" t="str">
        <x:v>C等3天→山路→按原计划</x:v>
      </x:c>
      <x:c r="C12" s="13" t="str">
        <x:v>P06-C &gt; C2-1 &gt; C3-1 &gt; C6-1</x:v>
      </x:c>
      <x:c r="D12" s="13" t="str">
        <x:v>Day 11 21:00</x:v>
      </x:c>
      <x:c r="E12" s="13" t="str">
        <x:v>按期</x:v>
      </x:c>
      <x:c r="F12" s="13" t="str">
        <x:v>避开最差暴风，仍承担剩余风险</x:v>
      </x:c>
      <x:c r="G12" s="13" t="str">
        <x:v>信息改善行动条件，但消耗3天</x:v>
      </x:c>
      <x:c r="H12" s="13" t="str">
        <x:v>信息的价值会不会被等待时间抵消？</x:v>
      </x:c>
      <x:c r="I12" s="20" t="str">
        <x:v>X01</x:v>
      </x:c>
      <x:c r="J12" s="12" t="str">
        <x:v>Day 11 21:00</x:v>
      </x:c>
    </x:row>
    <x:row r="13">
      <x:c r="A13" s="19" t="str">
        <x:v>C-03</x:v>
      </x:c>
      <x:c r="B13" s="13" t="str">
        <x:v>C等3天→山路→现场再调整</x:v>
      </x:c>
      <x:c r="C13" s="13" t="str">
        <x:v>P06-C &gt; C2-1 &gt; C3-1 &gt; C6-2</x:v>
      </x:c>
      <x:c r="D13" s="13" t="str">
        <x:v>Day 13 09:00</x:v>
      </x:c>
      <x:c r="E13" s="13" t="str">
        <x:v>按期</x:v>
      </x:c>
      <x:c r="F13" s="13" t="str">
        <x:v>更稳、只剩约24小时缓冲</x:v>
      </x:c>
      <x:c r="G13" s="13" t="str">
        <x:v>信息+谨慎执行进一步消耗时间</x:v>
      </x:c>
      <x:c r="H13" s="13" t="str">
        <x:v>更多信息一定意味着更好吗？</x:v>
      </x:c>
      <x:c r="I13" s="20" t="str">
        <x:v>X01</x:v>
      </x:c>
      <x:c r="J13" s="12" t="str">
        <x:v>Day 13 09:00</x:v>
      </x:c>
    </x:row>
    <x:row r="14">
      <x:c r="A14" s="19" t="str">
        <x:v>C-04</x:v>
      </x:c>
      <x:c r="B14" s="13" t="str">
        <x:v>C等3天→转谷地</x:v>
      </x:c>
      <x:c r="C14" s="13" t="str">
        <x:v>P06-C &gt; C2-1 &gt; C3-2</x:v>
      </x:c>
      <x:c r="D14" s="13" t="str">
        <x:v>约Day19</x:v>
      </x:c>
      <x:c r="E14" s="13" t="str">
        <x:v>超期</x:v>
      </x:c>
      <x:c r="F14" s="13" t="str">
        <x:v>高地暴露低</x:v>
      </x:c>
      <x:c r="G14" s="13" t="str">
        <x:v>信息支持了放弃山路，但慢路线更晚</x:v>
      </x:c>
      <x:c r="H14" s="13" t="str">
        <x:v>信息改变行动的价值是什么？</x:v>
      </x:c>
      <x:c r="I14" s="20" t="str">
        <x:v>X01</x:v>
      </x:c>
      <x:c r="J14" s="12" t="str">
        <x:v>原窗口已失去（不显示精确返程日）</x:v>
      </x:c>
    </x:row>
    <x:row r="15">
      <x:c r="A15" s="19" t="str">
        <x:v>C-05</x:v>
      </x:c>
      <x:c r="B15" s="13" t="str">
        <x:v>C等3天→不再争期限</x:v>
      </x:c>
      <x:c r="C15" s="13" t="str">
        <x:v>P06-C &gt; C2-1 &gt; C3-3</x:v>
      </x:c>
      <x:c r="D15" s="13" t="str">
        <x:v>主动放弃</x:v>
      </x:c>
      <x:c r="E15" s="13" t="str">
        <x:v>主动放弃</x:v>
      </x:c>
      <x:c r="F15" s="13" t="str">
        <x:v>人员与安全优先</x:v>
      </x:c>
      <x:c r="G15" s="13" t="str">
        <x:v>停止追机会</x:v>
      </x:c>
      <x:c r="H15" s="13" t="str">
        <x:v>主动退出是失败吗？</x:v>
      </x:c>
      <x:c r="I15" s="20" t="str">
        <x:v>X02</x:v>
      </x:c>
      <x:c r="J15" s="12" t="str">
        <x:v>主动放弃原窗口</x:v>
      </x:c>
    </x:row>
    <x:row r="16">
      <x:c r="A16" s="19" t="str">
        <x:v>C-06</x:v>
      </x:c>
      <x:c r="B16" s="13" t="str">
        <x:v>C等3天→山路→现场证据推翻旧判断</x:v>
      </x:c>
      <x:c r="C16" s="13" t="str">
        <x:v>P06-C &gt; C2-1 &gt; C3-1 &gt; C6-3</x:v>
      </x:c>
      <x:c r="D16" s="13" t="str">
        <x:v>超期；具体日未锁</x:v>
      </x:c>
      <x:c r="E16" s="13" t="str">
        <x:v>超期</x:v>
      </x:c>
      <x:c r="F16" s="13" t="str">
        <x:v>风险下降但机会失去</x:v>
      </x:c>
      <x:c r="G16" s="13" t="str">
        <x:v>根据新证据退出旧承诺</x:v>
      </x:c>
      <x:c r="H16" s="13" t="str">
        <x:v>为一个判断付过成本后还能推翻它吗？</x:v>
      </x:c>
      <x:c r="I16" s="20" t="str">
        <x:v>X01</x:v>
      </x:c>
      <x:c r="J16" s="12" t="str">
        <x:v>原窗口已失去（不显示精确返程日）</x:v>
      </x:c>
    </x:row>
    <x:row r="17">
      <x:c r="A17" s="19" t="str">
        <x:v>D-01</x:v>
      </x:c>
      <x:c r="B17" s="13" t="str">
        <x:v>D安全等待→继续等待</x:v>
      </x:c>
      <x:c r="C17" s="13" t="str">
        <x:v>P06-D &gt; D3-1</x:v>
      </x:c>
      <x:c r="D17" s="13" t="str">
        <x:v>约Day40安全返回</x:v>
      </x:c>
      <x:c r="E17" s="13" t="str">
        <x:v>主动放弃</x:v>
      </x:c>
      <x:c r="F17" s="13" t="str">
        <x:v>人员状态最好</x:v>
      </x:c>
      <x:c r="G17" s="13" t="str">
        <x:v>安全收益兑现；原窗口失去</x:v>
      </x:c>
      <x:c r="H17" s="13" t="str">
        <x:v>一个决定后来没改，可能是纪律还是僵化？</x:v>
      </x:c>
      <x:c r="I17" s="20" t="str">
        <x:v>X02</x:v>
      </x:c>
      <x:c r="J17" s="12" t="str">
        <x:v>主动放弃原窗口；最终安全返回</x:v>
      </x:c>
    </x:row>
    <x:row r="18">
      <x:c r="A18" s="19" t="str">
        <x:v>D-02</x:v>
      </x:c>
      <x:c r="B18" s="13" t="str">
        <x:v>D安全等待→反转→保持较快节奏</x:v>
      </x:c>
      <x:c r="C18" s="13" t="str">
        <x:v>P06-D &gt; D3-2 &gt; D5-1</x:v>
      </x:c>
      <x:c r="D18" s="13" t="str">
        <x:v>Day 14 03:00</x:v>
      </x:c>
      <x:c r="E18" s="13" t="str">
        <x:v>按期</x:v>
      </x:c>
      <x:c r="F18" s="13" t="str">
        <x:v>前期恢复好，后期容错极低</x:v>
      </x:c>
      <x:c r="G18" s="13" t="str">
        <x:v>前期安全换后期小时级缓冲</x:v>
      </x:c>
      <x:c r="H18" s="13" t="str">
        <x:v>同一个翻山为什么Day0和Day5不同？</x:v>
      </x:c>
      <x:c r="I18" s="20" t="str">
        <x:v>X01</x:v>
      </x:c>
      <x:c r="J18" s="12" t="str">
        <x:v>Day 14 03:00</x:v>
      </x:c>
    </x:row>
    <x:row r="19">
      <x:c r="A19" s="21" t="str">
        <x:v>D-03</x:v>
      </x:c>
      <x:c r="B19" s="22" t="str">
        <x:v>D安全等待→反转→后续降速</x:v>
      </x:c>
      <x:c r="C19" s="22" t="str">
        <x:v>P06-D &gt; D3-2 &gt; D5-2</x:v>
      </x:c>
      <x:c r="D19" s="22" t="str">
        <x:v>Day 14 18:00</x:v>
      </x:c>
      <x:c r="E19" s="22" t="str">
        <x:v>超期</x:v>
      </x:c>
      <x:c r="F19" s="22" t="str">
        <x:v>人员风险重新降低</x:v>
      </x:c>
      <x:c r="G19" s="22" t="str">
        <x:v>反转后仍允许根据新证据再调整</x:v>
      </x:c>
      <x:c r="H19" s="22" t="str">
        <x:v>后来修改决定是否说明原决定错了？</x:v>
      </x:c>
      <x:c r="I19" s="23" t="str">
        <x:v>X01</x:v>
      </x:c>
      <x:c r="J19" s="12" t="str">
        <x:v>Day 14 18:00</x:v>
      </x:c>
    </x:row>
  </x:sheetData>
  <x:conditionalFormatting sqref="E2:E19">
    <x:cfRule type="expression" dxfId="12" priority="1">
      <x:formula>E2="按期"</x:formula>
    </x:cfRule>
    <x:cfRule type="expression" dxfId="13" priority="2">
      <x:formula>E2="超期"</x:formula>
    </x:cfRule>
    <x:cfRule type="expression" dxfId="14" priority="3">
      <x:formula>E2="主动放弃"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0d07b2b0554f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44" hidden="0" customWidth="1"/>
    <x:col min="5" max="5" width="28" hidden="0" customWidth="1"/>
    <x:col min="6" max="6" width="18" hidden="0" customWidth="1"/>
    <x:col min="7" max="7" width="48" hidden="0" customWidth="1"/>
  </x:cols>
  <x:sheetData>
    <x:row r="1">
      <x:c r="A1" s="16" t="str">
        <x:v>状态字段</x:v>
      </x:c>
      <x:c r="B1" s="17" t="str">
        <x:v>含义</x:v>
      </x:c>
      <x:c r="C1" s="17" t="str">
        <x:v>类型</x:v>
      </x:c>
      <x:c r="D1" s="17" t="str">
        <x:v>允许值/示例</x:v>
      </x:c>
      <x:c r="E1" s="17" t="str">
        <x:v>主要更新节点</x:v>
      </x:c>
      <x:c r="F1" s="17" t="str">
        <x:v>是否学生可见</x:v>
      </x:c>
      <x:c r="G1" s="18" t="str">
        <x:v>用途/边界</x:v>
      </x:c>
    </x:row>
    <x:row r="2">
      <x:c r="A2" s="19" t="str">
        <x:v>day_time</x:v>
      </x:c>
      <x:c r="B2" s="13" t="str">
        <x:v>当前故事时间</x:v>
      </x:c>
      <x:c r="C2" s="13" t="str">
        <x:v>文本/时间</x:v>
      </x:c>
      <x:c r="D2" s="13" t="str">
        <x:v>Day 0 09:00 → 动态</x:v>
      </x:c>
      <x:c r="E2" s="13" t="str">
        <x:v>所有关键节点</x:v>
      </x:c>
      <x:c r="F2" s="13" t="str">
        <x:v>是</x:v>
      </x:c>
      <x:c r="G2" s="20" t="str">
        <x:v>用于倒计时、报告与结算；不要求视频模型生成数字</x:v>
      </x:c>
    </x:row>
    <x:row r="3">
      <x:c r="A3" s="19" t="str">
        <x:v>location</x:v>
      </x:c>
      <x:c r="B3" s="13" t="str">
        <x:v>当前所在故事空间</x:v>
      </x:c>
      <x:c r="C3" s="13" t="str">
        <x:v>枚举</x:v>
      </x:c>
      <x:c r="D3" s="13" t="str">
        <x:v>营地 / 山路前段 / 高地 / 背风处 / 谷地 / 镇 / 安全返程</x:v>
      </x:c>
      <x:c r="E3" s="13" t="str">
        <x:v>路线节点</x:v>
      </x:c>
      <x:c r="F3" s="13" t="str">
        <x:v>部分</x:v>
      </x:c>
      <x:c r="G3" s="20" t="str">
        <x:v>决定可进入的场景和素材</x:v>
      </x:c>
    </x:row>
    <x:row r="4">
      <x:c r="A4" s="19" t="str">
        <x:v>route_history</x:v>
      </x:c>
      <x:c r="B4" s="13" t="str">
        <x:v>完整路线历史</x:v>
      </x:c>
      <x:c r="C4" s="13" t="str">
        <x:v>路径字符串</x:v>
      </x:c>
      <x:c r="D4" s="13" t="str">
        <x:v>如 A&gt;暂避&gt;山路；C&gt;等待3天&gt;山路</x:v>
      </x:c>
      <x:c r="E4" s="13" t="str">
        <x:v>所有决策</x:v>
      </x:c>
      <x:c r="F4" s="13" t="str">
        <x:v>否</x:v>
      </x:c>
      <x:c r="G4" s="20" t="str">
        <x:v>防止汇合后历史清零；报告核心证据</x:v>
      </x:c>
    </x:row>
    <x:row r="5">
      <x:c r="A5" s="19" t="str">
        <x:v>hand_state</x:v>
      </x:c>
      <x:c r="B5" s="13" t="str">
        <x:v>左手状态</x:v>
      </x:c>
      <x:c r="C5" s="13" t="str">
        <x:v>枚举</x:v>
      </x:c>
      <x:c r="D5" s="13" t="str">
        <x:v>不稳定 / 受限 / 较稳 / 恢复</x:v>
      </x:c>
      <x:c r="E5" s="13" t="str">
        <x:v>A、B、C、D相关剧情</x:v>
      </x:c>
      <x:c r="F5" s="13" t="str">
        <x:v>必要时</x:v>
      </x:c>
      <x:c r="G5" s="20" t="str">
        <x:v>只在剧情需要时展示，不做常驻数值条</x:v>
      </x:c>
    </x:row>
    <x:row r="6">
      <x:c r="A6" s="19" t="str">
        <x:v>fatigue_state</x:v>
      </x:c>
      <x:c r="B6" s="13" t="str">
        <x:v>疲劳/恢复状态</x:v>
      </x:c>
      <x:c r="C6" s="13" t="str">
        <x:v>枚举</x:v>
      </x:c>
      <x:c r="D6" s="13" t="str">
        <x:v>正常 / 上升 / 高 / 很高 / 恢复</x:v>
      </x:c>
      <x:c r="E6" s="13" t="str">
        <x:v>B、D及部分A</x:v>
      </x:c>
      <x:c r="F6" s="13" t="str">
        <x:v>必要时</x:v>
      </x:c>
      <x:c r="G6" s="20" t="str">
        <x:v>用人物行动表现，不做精细数值模拟</x:v>
      </x:c>
    </x:row>
    <x:row r="7">
      <x:c r="A7" s="19" t="str">
        <x:v>info_state</x:v>
      </x:c>
      <x:c r="B7" s="13" t="str">
        <x:v>天气/现场信息层级</x:v>
      </x:c>
      <x:c r="C7" s="13" t="str">
        <x:v>枚举</x:v>
      </x:c>
      <x:c r="D7" s="13" t="str">
        <x:v>基础 / 暴风确认 / 山路判断更新 / 现场更新</x:v>
      </x:c>
      <x:c r="E7" s="13" t="str">
        <x:v>C及公共天气</x:v>
      </x:c>
      <x:c r="F7" s="13" t="str">
        <x:v>部分</x:v>
      </x:c>
      <x:c r="G7" s="20" t="str">
        <x:v>区分“知道更多”与“能否行动”</x:v>
      </x:c>
    </x:row>
    <x:row r="8">
      <x:c r="A8" s="19" t="str">
        <x:v>commitment_state</x:v>
      </x:c>
      <x:c r="B8" s="13" t="str">
        <x:v>当前承诺深度</x:v>
      </x:c>
      <x:c r="C8" s="13" t="str">
        <x:v>枚举</x:v>
      </x:c>
      <x:c r="D8" s="13" t="str">
        <x:v>低 / 中 / 高</x:v>
      </x:c>
      <x:c r="E8" s="13" t="str">
        <x:v>A、C、D反转</x:v>
      </x:c>
      <x:c r="F8" s="13" t="str">
        <x:v>否</x:v>
      </x:c>
      <x:c r="G8" s="20" t="str">
        <x:v>内部逻辑；用于判断退出成本和报告</x:v>
      </x:c>
    </x:row>
    <x:row r="9">
      <x:c r="A9" s="19" t="str">
        <x:v>deadline_status</x:v>
      </x:c>
      <x:c r="B9" s="13" t="str">
        <x:v>期限状态</x:v>
      </x:c>
      <x:c r="C9" s="13" t="str">
        <x:v>枚举</x:v>
      </x:c>
      <x:c r="D9" s="13" t="str">
        <x:v>open / narrow / met / missed / abandoned</x:v>
      </x:c>
      <x:c r="E9" s="13" t="str">
        <x:v>B、C、D、结算</x:v>
      </x:c>
      <x:c r="F9" s="13" t="str">
        <x:v>是</x:v>
      </x:c>
      <x:c r="G9" s="20" t="str">
        <x:v>结算时显示客观状态，不把missed写成“已被别人买走”</x:v>
      </x:c>
    </x:row>
    <x:row r="10">
      <x:c r="A10" s="19" t="str">
        <x:v>buffer_state</x:v>
      </x:c>
      <x:c r="B10" s="13" t="str">
        <x:v>时间/调整余量</x:v>
      </x:c>
      <x:c r="C10" s="13" t="str">
        <x:v>枚举</x:v>
      </x:c>
      <x:c r="D10" s="13" t="str">
        <x:v>宽 / 中 / 低 / 极窄 / 0</x:v>
      </x:c>
      <x:c r="E10" s="13" t="str">
        <x:v>所有路线</x:v>
      </x:c>
      <x:c r="F10" s="13" t="str">
        <x:v>可简化显示</x:v>
      </x:c>
      <x:c r="G10" s="20" t="str">
        <x:v>比精确数值更适合剧情；关键处仍可显示剩余天数</x:v>
      </x:c>
    </x:row>
    <x:row r="11">
      <x:c r="A11" s="19" t="str">
        <x:v>initial_priority</x:v>
      </x:c>
      <x:c r="B11" s="13" t="str">
        <x:v>玩家初始优先目标</x:v>
      </x:c>
      <x:c r="C11" s="13" t="str">
        <x:v>枚举+可选短句</x:v>
      </x:c>
      <x:c r="D11" s="13" t="str">
        <x:v>时间 / 可控性 / 信息 / 安全 / 其他</x:v>
      </x:c>
      <x:c r="E11" s="13" t="str">
        <x:v>P06</x:v>
      </x:c>
      <x:c r="F11" s="13" t="str">
        <x:v>否</x:v>
      </x:c>
      <x:c r="G11" s="20" t="str">
        <x:v>最终报告引用，避免模型猜动机</x:v>
      </x:c>
    </x:row>
    <x:row r="12">
      <x:c r="A12" s="19" t="str">
        <x:v>reason_notes</x:v>
      </x:c>
      <x:c r="B12" s="13" t="str">
        <x:v>关键转折理由记录</x:v>
      </x:c>
      <x:c r="C12" s="13" t="str">
        <x:v>短文本/枚举</x:v>
      </x:c>
      <x:c r="D12" s="13" t="str">
        <x:v>P06 + A02/B02/C02/D03</x:v>
      </x:c>
      <x:c r="E12" s="13" t="str">
        <x:v>关键决策</x:v>
      </x:c>
      <x:c r="F12" s="13" t="str">
        <x:v>否</x:v>
      </x:c>
      <x:c r="G12" s="20" t="str">
        <x:v>只在少数转折点收集，避免打断体验</x:v>
      </x:c>
    </x:row>
    <x:row r="13">
      <x:c r="A13" s="21" t="str">
        <x:v>flags</x:v>
      </x:c>
      <x:c r="B13" s="22" t="str">
        <x:v>历史标记</x:v>
      </x:c>
      <x:c r="C13" s="22" t="str">
        <x:v>布尔集合</x:v>
      </x:c>
      <x:c r="D13" s="22" t="str">
        <x:v>waited_weather / sheltered / accelerated_early / reversed_strategy / late_retreat…</x:v>
      </x:c>
      <x:c r="E13" s="22" t="str">
        <x:v>决策节点</x:v>
      </x:c>
      <x:c r="F13" s="22" t="str">
        <x:v>否</x:v>
      </x:c>
      <x:c r="G13" s="23" t="str">
        <x:v>驱动条件按钮、变体对白与报告证据</x:v>
      </x:c>
    </x:row>
  </x:sheetData>
  <x:pageMargins left="0.7" right="0.7" top="0.75" bottom="0.75" header="0.3" footer="0.3"/>
  <x:tableParts count="1">
    <x:tablePart xmlns:r="http://schemas.openxmlformats.org/officeDocument/2006/relationships" r:id="Rb24247367f2a444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4" hidden="0" customWidth="1"/>
    <x:col min="5" max="5" width="40" hidden="0" customWidth="1"/>
    <x:col min="6" max="6" width="44" hidden="0" customWidth="1"/>
    <x:col min="7" max="7" width="46" hidden="0" customWidth="1"/>
  </x:cols>
  <x:sheetData>
    <x:row r="1">
      <x:c r="A1" s="16" t="str">
        <x:v>场景组</x:v>
      </x:c>
      <x:c r="B1" s="17" t="str">
        <x:v>故事空间</x:v>
      </x:c>
      <x:c r="C1" s="17" t="str">
        <x:v>对应节点</x:v>
      </x:c>
      <x:c r="D1" s="17" t="str">
        <x:v>复用方式</x:v>
      </x:c>
      <x:c r="E1" s="17" t="str">
        <x:v>可共用内容</x:v>
      </x:c>
      <x:c r="F1" s="17" t="str">
        <x:v>必须做变体的事实</x:v>
      </x:c>
      <x:c r="G1" s="18" t="str">
        <x:v>禁止写死/注意</x:v>
      </x:c>
    </x:row>
    <x:row r="2">
      <x:c r="A2" s="19" t="str">
        <x:v>CAMP_OPEN</x:v>
      </x:c>
      <x:c r="B2" s="13" t="str">
        <x:v>营地公共开场</x:v>
      </x:c>
      <x:c r="C2" s="13" t="str">
        <x:v>P01,P02</x:v>
      </x:c>
      <x:c r="D2" s="13" t="str">
        <x:v>完整复用/已有素材优先</x:v>
      </x:c>
      <x:c r="E2" s="13" t="str">
        <x:v>帐篷、矿石、地图、人物形象、暖黄灯</x:v>
      </x:c>
      <x:c r="F2" s="13" t="str">
        <x:v>权利表述、具体期限对白需事实审核</x:v>
      </x:c>
      <x:c r="G2" s="20" t="str">
        <x:v>不要写“矿权已是我们的”；不要写样本是登记凭证</x:v>
      </x:c>
    </x:row>
    <x:row r="3">
      <x:c r="A3" s="19" t="str">
        <x:v>CAMP_ROUTE</x:v>
      </x:c>
      <x:c r="B3" s="13" t="str">
        <x:v>地图路线说明</x:v>
      </x:c>
      <x:c r="C3" s="13" t="str">
        <x:v>P03</x:v>
      </x:c>
      <x:c r="D3" s="13" t="str">
        <x:v>完整复用/已有素材优先</x:v>
      </x:c>
      <x:c r="E3" s="13" t="str">
        <x:v>老周指山脊与谷地</x:v>
      </x:c>
      <x:c r="F3" s="13" t="str">
        <x:v>对白口径统一为7—10天 / 2—3周</x:v>
      </x:c>
      <x:c r="G3" s="20" t="str">
        <x:v>不要提前推荐答案</x:v>
      </x:c>
    </x:row>
    <x:row r="4">
      <x:c r="A4" s="19" t="str">
        <x:v>CAMP_WEATHER</x:v>
      </x:c>
      <x:c r="B4" s="13" t="str">
        <x:v>天气信息建立</x:v>
      </x:c>
      <x:c r="C4" s="13" t="str">
        <x:v>P04</x:v>
      </x:c>
      <x:c r="D4" s="13" t="str">
        <x:v>完整复用/已有素材优先</x:v>
      </x:c>
      <x:c r="E4" s="13" t="str">
        <x:v>帐篷外风声、门外雪景</x:v>
      </x:c>
      <x:c r="F4" s="13" t="str">
        <x:v>48小时与再等一天的信息层级</x:v>
      </x:c>
      <x:c r="G4" s="20" t="str">
        <x:v>不要把天气说成已经确定</x:v>
      </x:c>
    </x:row>
    <x:row r="5">
      <x:c r="A5" s="19" t="str">
        <x:v>CAMP_HAND</x:v>
      </x:c>
      <x:c r="B5" s="13" t="str">
        <x:v>伤手建立</x:v>
      </x:c>
      <x:c r="C5" s="13" t="str">
        <x:v>P05</x:v>
      </x:c>
      <x:c r="D5" s="13" t="str">
        <x:v>完整复用/已有素材优先</x:v>
      </x:c>
      <x:c r="E5" s="13" t="str">
        <x:v>第一人称左手、阿杰检查</x:v>
      </x:c>
      <x:c r="F5" s="13" t="str">
        <x:v>伤手只在必要时出现</x:v>
      </x:c>
      <x:c r="G5" s="20" t="str">
        <x:v>不要每镜都露手</x:v>
      </x:c>
    </x:row>
    <x:row r="6">
      <x:c r="A6" s="19" t="str">
        <x:v>MTN_EARLY</x:v>
      </x:c>
      <x:c r="B6" s="13" t="str">
        <x:v>山路前段</x:v>
      </x:c>
      <x:c r="C6" s="13" t="str">
        <x:v>A01</x:v>
      </x:c>
      <x:c r="D6" s="13" t="str">
        <x:v>路线专属</x:v>
      </x:c>
      <x:c r="E6" s="13" t="str">
        <x:v>快速推进、山脊渐近</x:v>
      </x:c>
      <x:c r="F6" s="13" t="str">
        <x:v>A前期正反馈</x:v>
      </x:c>
      <x:c r="G6" s="20" t="str">
        <x:v>不要一出发就惩罚A</x:v>
      </x:c>
    </x:row>
    <x:row r="7">
      <x:c r="A7" s="19" t="str">
        <x:v>MTN_STORM</x:v>
      </x:c>
      <x:c r="B7" s="13" t="str">
        <x:v>高地暴风/背风处</x:v>
      </x:c>
      <x:c r="C7" s="13" t="str">
        <x:v>A02,A03A,A03B</x:v>
      </x:c>
      <x:c r="D7" s="13" t="str">
        <x:v>路线专属 + 内部变体</x:v>
      </x:c>
      <x:c r="E7" s="13" t="str">
        <x:v>暴风、高地、背风岩壁</x:v>
      </x:c>
      <x:c r="F7" s="13" t="str">
        <x:v>A继续与暂避的伤手/时间状态不同</x:v>
      </x:c>
      <x:c r="G7" s="20" t="str">
        <x:v>选项前必须看见可避风位置</x:v>
      </x:c>
    </x:row>
    <x:row r="8">
      <x:c r="A8" s="19" t="str">
        <x:v>MTN_NEUTRAL</x:v>
      </x:c>
      <x:c r="B8" s="13" t="str">
        <x:v>暴风峰值后中性山路</x:v>
      </x:c>
      <x:c r="C8" s="13" t="str">
        <x:v>C04M,C05,D04B</x:v>
      </x:c>
      <x:c r="D8" s="13" t="str">
        <x:v>母版+短变体</x:v>
      </x:c>
      <x:c r="E8" s="13" t="str">
        <x:v>低处山路、山脊、普通行进/扎营</x:v>
      </x:c>
      <x:c r="F8" s="13" t="str">
        <x:v>C要带“用3天换来的信息”；D要带“等5天后反转”</x:v>
      </x:c>
      <x:c r="G8" s="20" t="str">
        <x:v>不要出现“A从Day0就押山路”的台词</x:v>
      </x:c>
    </x:row>
    <x:row r="9">
      <x:c r="A9" s="19" t="str">
        <x:v>MTN_LATE</x:v>
      </x:c>
      <x:c r="B9" s="13" t="str">
        <x:v>山路后段/最后承诺</x:v>
      </x:c>
      <x:c r="C9" s="13" t="str">
        <x:v>A03A,A03B,A04,C06,D05</x:v>
      </x:c>
      <x:c r="D9" s="13" t="str">
        <x:v>母版+短变体</x:v>
      </x:c>
      <x:c r="E9" s="13" t="str">
        <x:v>后段地貌、普通小延误、疲劳表现</x:v>
      </x:c>
      <x:c r="F9" s="13" t="str">
        <x:v>时间、伤手、承诺深度按路径变化</x:v>
      </x:c>
      <x:c r="G9" s="20" t="str">
        <x:v>不能整段写死剩余天数</x:v>
      </x:c>
    </x:row>
    <x:row r="10">
      <x:c r="A10" s="19" t="str">
        <x:v>VALLEY_EARLY</x:v>
      </x:c>
      <x:c r="B10" s="13" t="str">
        <x:v>谷地前段</x:v>
      </x:c>
      <x:c r="C10" s="13" t="str">
        <x:v>B01,B02</x:v>
      </x:c>
      <x:c r="D10" s="13" t="str">
        <x:v>路线专属</x:v>
      </x:c>
      <x:c r="E10" s="13" t="str">
        <x:v>稳定行进、低高地暴露</x:v>
      </x:c>
      <x:c r="F10" s="13" t="str">
        <x:v>B的“稳”必须真实成立</x:v>
      </x:c>
      <x:c r="G10" s="20" t="str">
        <x:v>不需要断桥等新事故</x:v>
      </x:c>
    </x:row>
    <x:row r="11">
      <x:c r="A11" s="19" t="str">
        <x:v>VALLEY_LATE</x:v>
      </x:c>
      <x:c r="B11" s="13" t="str">
        <x:v>谷地后段/改路</x:v>
      </x:c>
      <x:c r="C11" s="13" t="str">
        <x:v>B03A,B03B,B04,A03R,C04V</x:v>
      </x:c>
      <x:c r="D11" s="13" t="str">
        <x:v>母版+短变体</x:v>
      </x:c>
      <x:c r="E11" s="13" t="str">
        <x:v>谷地行进、休整、时间推进</x:v>
      </x:c>
      <x:c r="F11" s="13" t="str">
        <x:v>B原生谷地 vs A/C后期汇入的历史不同</x:v>
      </x:c>
      <x:c r="G11" s="20" t="str">
        <x:v>不要写死“我们从第一天就在谷地”</x:v>
      </x:c>
    </x:row>
    <x:row r="12">
      <x:c r="A12" s="19" t="str">
        <x:v>WAIT_CAMP</x:v>
      </x:c>
      <x:c r="B12" s="13" t="str">
        <x:v>等待营地</x:v>
      </x:c>
      <x:c r="C12" s="13" t="str">
        <x:v>C01,C02,C03,D01,D02,D03</x:v>
      </x:c>
      <x:c r="D12" s="13" t="str">
        <x:v>母版+短变体</x:v>
      </x:c>
      <x:c r="E12" s="13" t="str">
        <x:v>营地、天气变化、恢复、观察</x:v>
      </x:c>
      <x:c r="F12" s="13" t="str">
        <x:v>C是买信息；D是安全优先；心理目标不同</x:v>
      </x:c>
      <x:c r="G12" s="20" t="str">
        <x:v>不能把C/D做成同一条“等天气正确答案”</x:v>
      </x:c>
    </x:row>
    <x:row r="13">
      <x:c r="A13" s="19" t="str">
        <x:v>TOWN_SETTLE</x:v>
      </x:c>
      <x:c r="B13" s="13" t="str">
        <x:v>镇/手续结算</x:v>
      </x:c>
      <x:c r="C13" s="13" t="str">
        <x:v>X01</x:v>
      </x:c>
      <x:c r="D13" s="13" t="str">
        <x:v>母版+动态Web信息</x:v>
      </x:c>
      <x:c r="E13" s="13" t="str">
        <x:v>接近镇、办理地点环境</x:v>
      </x:c>
      <x:c r="F13" s="13" t="str">
        <x:v>到达时间、人员状态、期限状态动态</x:v>
      </x:c>
      <x:c r="G13" s="20" t="str">
        <x:v>超期≠土地已经被别人买走</x:v>
      </x:c>
    </x:row>
    <x:row r="14">
      <x:c r="A14" s="19" t="str">
        <x:v>SAFE_RETURN</x:v>
      </x:c>
      <x:c r="B14" s="13" t="str">
        <x:v>安全返程尾声</x:v>
      </x:c>
      <x:c r="C14" s="13" t="str">
        <x:v>D04A,X02</x:v>
      </x:c>
      <x:c r="D14" s="13" t="str">
        <x:v>母版+短变体</x:v>
      </x:c>
      <x:c r="E14" s="13" t="str">
        <x:v>等待、打包、安全离开</x:v>
      </x:c>
      <x:c r="F14" s="13" t="str">
        <x:v>C主动退出与D长期等待前情不同</x:v>
      </x:c>
      <x:c r="G14" s="20" t="str">
        <x:v>退出后不再诱导争期限</x:v>
      </x:c>
    </x:row>
    <x:row r="15">
      <x:c r="A15" s="21" t="str">
        <x:v>REPORT_WEB</x:v>
      </x:c>
      <x:c r="B15" s="22" t="str">
        <x:v>战略经历复盘</x:v>
      </x:c>
      <x:c r="C15" s="22" t="str">
        <x:v>R01</x:v>
      </x:c>
      <x:c r="D15" s="22" t="str">
        <x:v>Web</x:v>
      </x:c>
      <x:c r="E15" s="22" t="str">
        <x:v>选择时间线、关键节点、结果摘要</x:v>
      </x:c>
      <x:c r="F15" s="22" t="str">
        <x:v>根据实际路径选2—4个问题</x:v>
      </x:c>
      <x:c r="G15" s="23" t="str">
        <x:v>不做人格式评分、不判“错误路线”</x:v>
      </x:c>
    </x:row>
  </x:sheetData>
  <x:pageMargins left="0.7" right="0.7" top="0.75" bottom="0.75" header="0.3" footer="0.3"/>
  <x:tableParts count="1">
    <x:tablePart xmlns:r="http://schemas.openxmlformats.org/officeDocument/2006/relationships" r:id="R3fd98aaebb6f43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54" hidden="0" customWidth="1"/>
    <x:col min="5" max="5" width="34" hidden="0" customWidth="1"/>
    <x:col min="6" max="6" width="20" hidden="0" customWidth="1"/>
  </x:cols>
  <x:sheetData>
    <x:row r="1">
      <x:c r="A1" s="16" t="str">
        <x:v>报告标签</x:v>
      </x:c>
      <x:c r="B1" s="17" t="str">
        <x:v>证据节点/选项</x:v>
      </x:c>
      <x:c r="C1" s="17" t="str">
        <x:v>报告位置</x:v>
      </x:c>
      <x:c r="D1" s="17" t="str">
        <x:v>推荐复盘问题/写法</x:v>
      </x:c>
      <x:c r="E1" s="17" t="str">
        <x:v>课程关联</x:v>
      </x:c>
      <x:c r="F1" s="18" t="str">
        <x:v>类型</x:v>
      </x:c>
    </x:row>
    <x:row r="2">
      <x:c r="A2" s="19" t="str">
        <x:v>初始目标</x:v>
      </x:c>
      <x:c r="B2" s="13" t="str">
        <x:v>P06</x:v>
      </x:c>
      <x:c r="C2" s="13" t="str">
        <x:v>你最初想保什么</x:v>
      </x:c>
      <x:c r="D2" s="13" t="str">
        <x:v>回放initial_priority与初始路线</x:v>
      </x:c>
      <x:c r="E2" s="13" t="str">
        <x:v>权衡取舍 / 目标明确</x:v>
      </x:c>
      <x:c r="F2" s="20" t="str">
        <x:v>课程核心</x:v>
      </x:c>
    </x:row>
    <x:row r="3">
      <x:c r="A3" s="19" t="str">
        <x:v>风险换时间</x:v>
      </x:c>
      <x:c r="B3" s="13" t="str">
        <x:v>P06-A,A2-1</x:v>
      </x:c>
      <x:c r="C3" s="13" t="str">
        <x:v>你的判断建立在什么假设上</x:v>
      </x:c>
      <x:c r="D3" s="13" t="str">
        <x:v>为什么认为更高风险值得换时间？</x:v>
      </x:c>
      <x:c r="E3" s="13" t="str">
        <x:v>不确定性 / 资源能力</x:v>
      </x:c>
      <x:c r="F3" s="20" t="str">
        <x:v>课程核心</x:v>
      </x:c>
    </x:row>
    <x:row r="4">
      <x:c r="A4" s="19" t="str">
        <x:v>可控性优先</x:v>
      </x:c>
      <x:c r="B4" s="13" t="str">
        <x:v>P06-B,B2-2</x:v>
      </x:c>
      <x:c r="C4" s="13" t="str">
        <x:v>你最初想保什么</x:v>
      </x:c>
      <x:c r="D4" s="13" t="str">
        <x:v>“更稳”是在降低哪一种风险？</x:v>
      </x:c>
      <x:c r="E4" s="13" t="str">
        <x:v>权衡取舍</x:v>
      </x:c>
      <x:c r="F4" s="20" t="str">
        <x:v>课程核心</x:v>
      </x:c>
    </x:row>
    <x:row r="5">
      <x:c r="A5" s="19" t="str">
        <x:v>信息等待</x:v>
      </x:c>
      <x:c r="B5" s="13" t="str">
        <x:v>P06-C,C2-1/C2-2</x:v>
      </x:c>
      <x:c r="C5" s="13" t="str">
        <x:v>你的判断建立在什么假设上</x:v>
      </x:c>
      <x:c r="D5" s="13" t="str">
        <x:v>信息的价值会不会被等待时间抵消？</x:v>
      </x:c>
      <x:c r="E5" s="13" t="str">
        <x:v>环境分析</x:v>
      </x:c>
      <x:c r="F5" s="20" t="str">
        <x:v>体验延伸</x:v>
      </x:c>
    </x:row>
    <x:row r="6">
      <x:c r="A6" s="19" t="str">
        <x:v>安全优先</x:v>
      </x:c>
      <x:c r="B6" s="13" t="str">
        <x:v>P06-D,D3-1</x:v>
      </x:c>
      <x:c r="C6" s="13" t="str">
        <x:v>你最初想保什么</x:v>
      </x:c>
      <x:c r="D6" s="13" t="str">
        <x:v>主动放弃机会是不是一种有效承诺？</x:v>
      </x:c>
      <x:c r="E6" s="13" t="str">
        <x:v>价值观 / 目标</x:v>
      </x:c>
      <x:c r="F6" s="20" t="str">
        <x:v>课程核心+延伸</x:v>
      </x:c>
    </x:row>
    <x:row r="7">
      <x:c r="A7" s="19" t="str">
        <x:v>承诺升级</x:v>
      </x:c>
      <x:c r="B7" s="13" t="str">
        <x:v>A2-1,A4-1</x:v>
      </x:c>
      <x:c r="C7" s="13" t="str">
        <x:v>你什么时候重新判断</x:v>
      </x:c>
      <x:c r="D7" s="13" t="str">
        <x:v>已投入很多，是继续的理由吗？</x:v>
      </x:c>
      <x:c r="E7" s="13" t="str">
        <x:v>不可逆性</x:v>
      </x:c>
      <x:c r="F7" s="20" t="str">
        <x:v>课程核心+延伸</x:v>
      </x:c>
    </x:row>
    <x:row r="8">
      <x:c r="A8" s="19" t="str">
        <x:v>止损/撤回</x:v>
      </x:c>
      <x:c r="B8" s="13" t="str">
        <x:v>A2-3,A4-3,C6-3</x:v>
      </x:c>
      <x:c r="C8" s="13" t="str">
        <x:v>你什么时候重新判断</x:v>
      </x:c>
      <x:c r="D8" s="13" t="str">
        <x:v>什么时候退出是更新判断，而不是失败？</x:v>
      </x:c>
      <x:c r="E8" s="13" t="str">
        <x:v>不可逆性 / 调整</x:v>
      </x:c>
      <x:c r="F8" s="20" t="str">
        <x:v>课程核心+延伸</x:v>
      </x:c>
    </x:row>
    <x:row r="9">
      <x:c r="A9" s="19" t="str">
        <x:v>早调整</x:v>
      </x:c>
      <x:c r="B9" s="13" t="str">
        <x:v>B2-1,B4A-1/B4A-2</x:v>
      </x:c>
      <x:c r="C9" s="13" t="str">
        <x:v>现实后来发生了什么变化</x:v>
      </x:c>
      <x:c r="D9" s="13" t="str">
        <x:v>早调整买回了什么，又花掉了什么？</x:v>
      </x:c>
      <x:c r="E9" s="13" t="str">
        <x:v>执行与调整</x:v>
      </x:c>
      <x:c r="F9" s="20" t="str">
        <x:v>体验延伸</x:v>
      </x:c>
    </x:row>
    <x:row r="10">
      <x:c r="A10" s="19" t="str">
        <x:v>晚调整</x:v>
      </x:c>
      <x:c r="B10" s="13" t="str">
        <x:v>B4B-1</x:v>
      </x:c>
      <x:c r="C10" s="13" t="str">
        <x:v>你什么时候重新判断</x:v>
      </x:c>
      <x:c r="D10" s="13" t="str">
        <x:v>为什么同一个提速，Day9做更贵？</x:v>
      </x:c>
      <x:c r="E10" s="13" t="str">
        <x:v>时间压力 / 不可逆性</x:v>
      </x:c>
      <x:c r="F10" s="20" t="str">
        <x:v>课程核心+延伸</x:v>
      </x:c>
    </x:row>
    <x:row r="11">
      <x:c r="A11" s="19" t="str">
        <x:v>维持稳走</x:v>
      </x:c>
      <x:c r="B11" s="13" t="str">
        <x:v>B4B-2</x:v>
      </x:c>
      <x:c r="C11" s="13" t="str">
        <x:v>你最后保住/牺牲什么</x:v>
      </x:c>
      <x:c r="D11" s="13" t="str">
        <x:v>不出事故和完成目标是一回事吗？</x:v>
      </x:c>
      <x:c r="E11" s="13" t="str">
        <x:v>目标与路径匹配</x:v>
      </x:c>
      <x:c r="F11" s="20" t="str">
        <x:v>体验延伸</x:v>
      </x:c>
    </x:row>
    <x:row r="12">
      <x:c r="A12" s="19" t="str">
        <x:v>信息更新</x:v>
      </x:c>
      <x:c r="B12" s="13" t="str">
        <x:v>C6-1/C6-2/C6-3</x:v>
      </x:c>
      <x:c r="C12" s="13" t="str">
        <x:v>你什么时候重新判断</x:v>
      </x:c>
      <x:c r="D12" s="13" t="str">
        <x:v>旧信息出现新证据后还应占多大权重？</x:v>
      </x:c>
      <x:c r="E12" s="13" t="str">
        <x:v>环境监测 / 调整</x:v>
      </x:c>
      <x:c r="F12" s="20" t="str">
        <x:v>课程核心+延伸</x:v>
      </x:c>
    </x:row>
    <x:row r="13">
      <x:c r="A13" s="19" t="str">
        <x:v>战略反转</x:v>
      </x:c>
      <x:c r="B13" s="13" t="str">
        <x:v>D3-2</x:v>
      </x:c>
      <x:c r="C13" s="13" t="str">
        <x:v>你什么时候重新判断</x:v>
      </x:c>
      <x:c r="D13" s="13" t="str">
        <x:v>一个当时正确的决定后来被修改，说明它错了吗？</x:v>
      </x:c>
      <x:c r="E13" s="13" t="str">
        <x:v>环境变化 / 调整</x:v>
      </x:c>
      <x:c r="F13" s="20" t="str">
        <x:v>课程核心+延伸</x:v>
      </x:c>
    </x:row>
    <x:row r="14">
      <x:c r="A14" s="19" t="str">
        <x:v>反转后再调整</x:v>
      </x:c>
      <x:c r="B14" s="13" t="str">
        <x:v>D5-2</x:v>
      </x:c>
      <x:c r="C14" s="13" t="str">
        <x:v>你什么时候重新判断</x:v>
      </x:c>
      <x:c r="D14" s="13" t="str">
        <x:v>已经反转后还允许再次调整吗？</x:v>
      </x:c>
      <x:c r="E14" s="13" t="str">
        <x:v>战略一致性</x:v>
      </x:c>
      <x:c r="F14" s="20" t="str">
        <x:v>体验延伸</x:v>
      </x:c>
    </x:row>
    <x:row r="15">
      <x:c r="A15" s="19" t="str">
        <x:v>期限结果</x:v>
      </x:c>
      <x:c r="B15" s="13" t="str">
        <x:v>X01</x:v>
      </x:c>
      <x:c r="C15" s="13" t="str">
        <x:v>你最后保住/牺牲什么</x:v>
      </x:c>
      <x:c r="D15" s="13" t="str">
        <x:v>按期/超期只是结果之一，还付出了什么？</x:v>
      </x:c>
      <x:c r="E15" s="13" t="str">
        <x:v>时间压力 / 权衡</x:v>
      </x:c>
      <x:c r="F15" s="20" t="str">
        <x:v>课程核心</x:v>
      </x:c>
    </x:row>
    <x:row r="16">
      <x:c r="A16" s="21" t="str">
        <x:v>安全退出结果</x:v>
      </x:c>
      <x:c r="B16" s="22" t="str">
        <x:v>X02</x:v>
      </x:c>
      <x:c r="C16" s="22" t="str">
        <x:v>你最后保住/牺牲什么</x:v>
      </x:c>
      <x:c r="D16" s="22" t="str">
        <x:v>退出保护了什么、放弃了什么？</x:v>
      </x:c>
      <x:c r="E16" s="22" t="str">
        <x:v>价值观 / 资源配置</x:v>
      </x:c>
      <x:c r="F16" s="23" t="str">
        <x:v>课程核心+延伸</x:v>
      </x:c>
    </x:row>
  </x:sheetData>
  <x:pageMargins left="0.7" right="0.7" top="0.75" bottom="0.75" header="0.3" footer="0.3"/>
  <x:tableParts count="1">
    <x:tablePart xmlns:r="http://schemas.openxmlformats.org/officeDocument/2006/relationships" r:id="Rc7788e2ce85f463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6" t="str">
        <x:v>《最后十四天》互动节点总表｜FINAL</x:v>
      </x:c>
      <x:c r="B1" s="47"/>
      <x:c r="C1" s="47"/>
      <x:c r="D1" s="47"/>
      <x:c r="E1" s="47"/>
      <x:c r="F1" s="47"/>
      <x:c r="G1" s="47"/>
      <x:c r="H1" s="48"/>
    </x:row>
    <x:row r="2">
      <x:c r="A2" s="49"/>
      <x:c r="B2" s="34"/>
      <x:c r="C2" s="34"/>
      <x:c r="D2" s="34"/>
      <x:c r="E2" s="34"/>
      <x:c r="F2" s="34"/>
      <x:c r="G2" s="34"/>
      <x:c r="H2" s="50"/>
    </x:row>
    <x:row r="3">
      <x:c r="A3" s="51"/>
      <x:c r="B3" s="52"/>
      <x:c r="C3" s="52"/>
      <x:c r="D3" s="52"/>
      <x:c r="E3" s="52"/>
      <x:c r="F3" s="52"/>
      <x:c r="G3" s="52"/>
      <x:c r="H3" s="53"/>
    </x:row>
    <x:row r="4">
      <x:c r="A4" s="54" t="str">
        <x:v>指标</x:v>
      </x:c>
      <x:c r="B4" s="6" t="str">
        <x:v>值</x:v>
      </x:c>
      <x:c r="C4" s="52"/>
      <x:c r="D4" s="6" t="str">
        <x:v>路线</x:v>
      </x:c>
      <x:c r="E4" s="6" t="str">
        <x:v>逻辑节点数</x:v>
      </x:c>
      <x:c r="F4" s="52"/>
      <x:c r="G4" s="52"/>
      <x:c r="H4" s="53"/>
    </x:row>
    <x:row r="5">
      <x:c r="A5" s="55" t="str">
        <x:v>逻辑节点总数</x:v>
      </x:c>
      <x:c r="B5" s="52" t="n">
        <x:f>COUNTA('节点总表'!A2:A200)</x:f>
        <x:v>33</x:v>
      </x:c>
      <x:c r="C5" s="52"/>
      <x:c r="D5" s="40" t="str">
        <x:v>A</x:v>
      </x:c>
      <x:c r="E5" s="52" t="n">
        <x:f>COUNTIF('节点总表'!B2:B200,"A")</x:f>
        <x:v>6</x:v>
      </x:c>
      <x:c r="F5" s="52"/>
      <x:c r="G5" s="52"/>
      <x:c r="H5" s="53"/>
    </x:row>
    <x:row r="6">
      <x:c r="A6" s="55" t="str">
        <x:v>决策节点数</x:v>
      </x:c>
      <x:c r="B6" s="52" t="n">
        <x:f>COUNTIF('节点总表'!D2:D200,"决策")</x:f>
        <x:v>10</x:v>
      </x:c>
      <x:c r="C6" s="52"/>
      <x:c r="D6" s="40" t="str">
        <x:v>B</x:v>
      </x:c>
      <x:c r="E6" s="52" t="n">
        <x:f>COUNTIF('节点总表'!B2:B200,"B")</x:f>
        <x:v>5</x:v>
      </x:c>
      <x:c r="F6" s="52"/>
      <x:c r="G6" s="52"/>
      <x:c r="H6" s="53"/>
    </x:row>
    <x:row r="7">
      <x:c r="A7" s="55" t="str">
        <x:v>选项总数</x:v>
      </x:c>
      <x:c r="B7" s="52" t="n">
        <x:f>COUNTA('选项与流转'!A2:A200)</x:f>
        <x:v>28</x:v>
      </x:c>
      <x:c r="C7" s="52"/>
      <x:c r="D7" s="40" t="str">
        <x:v>C</x:v>
      </x:c>
      <x:c r="E7" s="52" t="n">
        <x:f>COUNTIF('节点总表'!B2:B200,"C")</x:f>
        <x:v>7</x:v>
      </x:c>
      <x:c r="F7" s="52"/>
      <x:c r="G7" s="52"/>
      <x:c r="H7" s="53"/>
    </x:row>
    <x:row r="8">
      <x:c r="A8" s="55" t="str">
        <x:v>代表路径数</x:v>
      </x:c>
      <x:c r="B8" s="52" t="n">
        <x:f>COUNTA('代表路径'!A2:A100)</x:f>
        <x:v>18</x:v>
      </x:c>
      <x:c r="C8" s="52"/>
      <x:c r="D8" s="40" t="str">
        <x:v>D</x:v>
      </x:c>
      <x:c r="E8" s="52" t="n">
        <x:f>COUNTIF('节点总表'!B2:B200,"D")</x:f>
        <x:v>6</x:v>
      </x:c>
      <x:c r="F8" s="52"/>
      <x:c r="G8" s="52"/>
      <x:c r="H8" s="53"/>
    </x:row>
    <x:row r="9">
      <x:c r="A9" s="55" t="str">
        <x:v>场景复用组数</x:v>
      </x:c>
      <x:c r="B9" s="52" t="n">
        <x:f>COUNTA('视频复用计划'!A2:A100)</x:f>
        <x:v>14</x:v>
      </x:c>
      <x:c r="C9" s="52"/>
      <x:c r="D9" s="40" t="str">
        <x:v>公共+共享</x:v>
      </x:c>
      <x:c r="E9" s="52" t="n">
        <x:f>COUNTIF('节点总表'!B2:B200,"公共")+COUNTIF('节点总表'!B2:B200,"共享")</x:f>
        <x:v>9</x:v>
      </x:c>
      <x:c r="F9" s="52"/>
      <x:c r="G9" s="52"/>
      <x:c r="H9" s="53"/>
    </x:row>
    <x:row r="10">
      <x:c r="A10" s="55" t="str">
        <x:v>当前阶段</x:v>
      </x:c>
      <x:c r="B10" s="52" t="str">
        <x:v>剧情骨架冻结 → 交互/对白/逐镜生产</x:v>
      </x:c>
      <x:c r="C10" s="52"/>
      <x:c r="D10" s="52"/>
      <x:c r="E10" s="52"/>
      <x:c r="F10" s="52"/>
      <x:c r="G10" s="52"/>
      <x:c r="H10" s="53"/>
    </x:row>
    <x:row r="11">
      <x:c r="A11" s="51"/>
      <x:c r="B11" s="52"/>
      <x:c r="C11" s="52"/>
      <x:c r="D11" s="52"/>
      <x:c r="E11" s="52"/>
      <x:c r="F11" s="52"/>
      <x:c r="G11" s="52"/>
      <x:c r="H11" s="53"/>
    </x:row>
    <x:row r="12">
      <x:c r="A12" s="55" t="str">
        <x:v>流程速览</x:v>
      </x:c>
      <x:c r="B12" s="40"/>
      <x:c r="C12" s="40"/>
      <x:c r="D12" s="40"/>
      <x:c r="E12" s="40"/>
      <x:c r="F12" s="40"/>
      <x:c r="G12" s="40"/>
      <x:c r="H12" s="56"/>
    </x:row>
    <x:row r="13">
      <x:c r="A13" s="57" t="str">
        <x:v>公共</x:v>
      </x:c>
      <x:c r="B13" s="12" t="str">
        <x:v>P01 → P02 → P03 → P04 → P05 → P06 → A/B/C/D</x:v>
      </x:c>
      <x:c r="C13" s="52"/>
      <x:c r="D13" s="52"/>
      <x:c r="E13" s="52"/>
      <x:c r="F13" s="52"/>
      <x:c r="G13" s="52"/>
      <x:c r="H13" s="53"/>
    </x:row>
    <x:row r="14">
      <x:c r="A14" s="57" t="str">
        <x:v>A</x:v>
      </x:c>
      <x:c r="B14" s="12" t="str">
        <x:v>A01 → A02 → A03A/A03B/A03R → A04 → X01（或撤回） → R01</x:v>
      </x:c>
      <x:c r="C14" s="52"/>
      <x:c r="D14" s="52"/>
      <x:c r="E14" s="52"/>
      <x:c r="F14" s="52"/>
      <x:c r="G14" s="52"/>
      <x:c r="H14" s="53"/>
    </x:row>
    <x:row r="15">
      <x:c r="A15" s="57" t="str">
        <x:v>B</x:v>
      </x:c>
      <x:c r="B15" s="12" t="str">
        <x:v>B01 → B02 → B03A/B03B → B04（条件按钮） → X01 → R01</x:v>
      </x:c>
      <x:c r="C15" s="52"/>
      <x:c r="D15" s="52"/>
      <x:c r="E15" s="52"/>
      <x:c r="F15" s="52"/>
      <x:c r="G15" s="52"/>
      <x:c r="H15" s="53"/>
    </x:row>
    <x:row r="16">
      <x:c r="A16" s="57" t="str">
        <x:v>C</x:v>
      </x:c>
      <x:c r="B16" s="12" t="str">
        <x:v>C01 → C02 → C03 / C04V → C04M → C05 → C06 → X01/X02 → R01</x:v>
      </x:c>
      <x:c r="C16" s="52"/>
      <x:c r="D16" s="52"/>
      <x:c r="E16" s="52"/>
      <x:c r="F16" s="52"/>
      <x:c r="G16" s="52"/>
      <x:c r="H16" s="53"/>
    </x:row>
    <x:row r="17">
      <x:c r="A17" s="57" t="str">
        <x:v>D</x:v>
      </x:c>
      <x:c r="B17" s="12" t="str">
        <x:v>D01 → D02 → D03 → D04A/D04B → D05 → X01/X02 → R01</x:v>
      </x:c>
      <x:c r="C17" s="52"/>
      <x:c r="D17" s="52"/>
      <x:c r="E17" s="52"/>
      <x:c r="F17" s="52"/>
      <x:c r="G17" s="52"/>
      <x:c r="H17" s="53"/>
    </x:row>
    <x:row r="18">
      <x:c r="A18" s="51"/>
      <x:c r="B18" s="52"/>
      <x:c r="C18" s="52"/>
      <x:c r="D18" s="52"/>
      <x:c r="E18" s="52"/>
      <x:c r="F18" s="52"/>
      <x:c r="G18" s="52"/>
      <x:c r="H18" s="53"/>
    </x:row>
    <x:row r="19">
      <x:c r="A19" s="55" t="str">
        <x:v>使用规则（冻结）</x:v>
      </x:c>
      <x:c r="B19" s="40"/>
      <x:c r="C19" s="40"/>
      <x:c r="D19" s="40"/>
      <x:c r="E19" s="40"/>
      <x:c r="F19" s="40"/>
      <x:c r="G19" s="40"/>
      <x:c r="H19" s="56"/>
    </x:row>
    <x:row r="20">
      <x:c r="A20" s="19" t="str">
        <x:v>世界不因玩家选择改变客观事实；选择改变玩家的位置、信息、身体状态、时间余量和可选动作。</x:v>
      </x:c>
      <x:c r="B20" s="13"/>
      <x:c r="C20" s="13"/>
      <x:c r="D20" s="13"/>
      <x:c r="E20" s="13"/>
      <x:c r="F20" s="13"/>
      <x:c r="G20" s="13"/>
      <x:c r="H20" s="20"/>
    </x:row>
    <x:row r="21">
      <x:c r="A21" s="19" t="str">
        <x:v>选择 → 执行 → 具体后果 → 后果改变处境 → 新信息/压力 → 再判断。</x:v>
      </x:c>
      <x:c r="B21" s="13"/>
      <x:c r="C21" s="13"/>
      <x:c r="D21" s="13"/>
      <x:c r="E21" s="13"/>
      <x:c r="F21" s="13"/>
      <x:c r="G21" s="13"/>
      <x:c r="H21" s="20"/>
    </x:row>
    <x:row r="22">
      <x:c r="A22" s="19" t="str">
        <x:v>场景可以汇合，历史不能清零；同一母版必须通过状态/进入句保留前序经历。</x:v>
      </x:c>
      <x:c r="B22" s="13"/>
      <x:c r="C22" s="13"/>
      <x:c r="D22" s="13"/>
      <x:c r="E22" s="13"/>
      <x:c r="F22" s="13"/>
      <x:c r="G22" s="13"/>
      <x:c r="H22" s="20"/>
    </x:row>
    <x:row r="23">
      <x:c r="A23" s="19" t="str">
        <x:v>少数关键节点记录玩家理由；最终报告引用真实行为，不做人格评分。</x:v>
      </x:c>
      <x:c r="B23" s="13"/>
      <x:c r="C23" s="13"/>
      <x:c r="D23" s="13"/>
      <x:c r="E23" s="13"/>
      <x:c r="F23" s="13"/>
      <x:c r="G23" s="13"/>
      <x:c r="H23" s="20"/>
    </x:row>
    <x:row r="24">
      <x:c r="A24" s="19" t="str">
        <x:v>Pavo单次最长约12秒只是生成约束；一个完整剧情场景可以由多个片段拼接。</x:v>
      </x:c>
      <x:c r="B24" s="13"/>
      <x:c r="C24" s="13"/>
      <x:c r="D24" s="13"/>
      <x:c r="E24" s="13"/>
      <x:c r="F24" s="13"/>
      <x:c r="G24" s="13"/>
      <x:c r="H24" s="20"/>
    </x:row>
    <x:row r="25">
      <x:c r="A25" s="19" t="str">
        <x:v>本表是逻辑与交互真源；逐镜清单、Pavo片段数和Web配置从本表派生。</x:v>
      </x:c>
      <x:c r="B25" s="13"/>
      <x:c r="C25" s="13"/>
      <x:c r="D25" s="13"/>
      <x:c r="E25" s="13"/>
      <x:c r="F25" s="13"/>
      <x:c r="G25" s="13"/>
      <x:c r="H25" s="20"/>
    </x:row>
    <x:row r="26">
      <x:c r="A26" s="51"/>
      <x:c r="B26" s="52"/>
      <x:c r="C26" s="52"/>
      <x:c r="D26" s="52"/>
      <x:c r="E26" s="52"/>
      <x:c r="F26" s="52"/>
      <x:c r="G26" s="52"/>
      <x:c r="H26" s="53"/>
    </x:row>
    <x:row r="27">
      <x:c r="A27" s="55" t="str">
        <x:v>依据FINAL文档</x:v>
      </x:c>
      <x:c r="B27" s="40"/>
      <x:c r="C27" s="40"/>
      <x:c r="D27" s="40"/>
      <x:c r="E27" s="40"/>
      <x:c r="F27" s="40"/>
      <x:c r="G27" s="40"/>
      <x:c r="H27" s="56"/>
    </x:row>
    <x:row r="28">
      <x:c r="A28" s="19" t="str">
        <x:v>01_项目定位与设计原则_FINAL.md</x:v>
      </x:c>
      <x:c r="B28" s="13"/>
      <x:c r="C28" s="13"/>
      <x:c r="D28" s="13"/>
      <x:c r="E28" s="13"/>
      <x:c r="F28" s="13"/>
      <x:c r="G28" s="13"/>
      <x:c r="H28" s="20"/>
    </x:row>
    <x:row r="29">
      <x:c r="A29" s="19" t="str">
        <x:v>03_共享世界与十四天时间轴_FINAL.md</x:v>
      </x:c>
      <x:c r="B29" s="13"/>
      <x:c r="C29" s="13"/>
      <x:c r="D29" s="13"/>
      <x:c r="E29" s="13"/>
      <x:c r="F29" s="13"/>
      <x:c r="G29" s="13"/>
      <x:c r="H29" s="20"/>
    </x:row>
    <x:row r="30">
      <x:c r="A30" s="19" t="str">
        <x:v>04_完整文字剧情_FINAL.md</x:v>
      </x:c>
      <x:c r="B30" s="13"/>
      <x:c r="C30" s="13"/>
      <x:c r="D30" s="13"/>
      <x:c r="E30" s="13"/>
      <x:c r="F30" s="13"/>
      <x:c r="G30" s="13"/>
      <x:c r="H30" s="20"/>
    </x:row>
    <x:row r="31">
      <x:c r="A31" s="19" t="str">
        <x:v>05_学生复盘与教学映射_FINAL.md</x:v>
      </x:c>
      <x:c r="B31" s="13"/>
      <x:c r="C31" s="13"/>
      <x:c r="D31" s="13"/>
      <x:c r="E31" s="13"/>
      <x:c r="F31" s="13"/>
      <x:c r="G31" s="13"/>
      <x:c r="H31" s="20"/>
    </x:row>
    <x:row r="32">
      <x:c r="A32" s="21" t="str">
        <x:v>07_AI视频生产与复用规划_FINAL.md</x:v>
      </x:c>
      <x:c r="B32" s="22"/>
      <x:c r="C32" s="22"/>
      <x:c r="D32" s="22"/>
      <x:c r="E32" s="22"/>
      <x:c r="F32" s="22"/>
      <x:c r="G32" s="22"/>
      <x:c r="H32" s="23"/>
    </x:row>
  </x:sheetData>
  <x:mergeCells>
    <x:mergeCell ref="A1:H2"/>
    <x:mergeCell ref="A12:H12"/>
    <x:mergeCell ref="A19:H19"/>
    <x:mergeCell ref="A20:H20"/>
    <x:mergeCell ref="A21:H21"/>
    <x:mergeCell ref="A22:H22"/>
    <x:mergeCell ref="A23:H23"/>
    <x:mergeCell ref="A24:H24"/>
    <x:mergeCell ref="A25:H25"/>
    <x:mergeCell ref="A27:H27"/>
    <x:mergeCell ref="A28:H28"/>
    <x:mergeCell ref="A29:H29"/>
    <x:mergeCell ref="A30:H30"/>
    <x:mergeCell ref="A31:H31"/>
    <x:mergeCell ref="A32:H32"/>
  </x:mergeCells>
  <x:pageMargins left="0.7" right="0.7" top="0.75" bottom="0.75" header="0.3" footer="0.3"/>
</x:worksheet>
</file>